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Epics" sheetId="2" state="visible" r:id="rId4"/>
    <sheet name="Sprint Plan" sheetId="3" state="visible" r:id="rId5"/>
    <sheet name="Read Me" sheetId="4" state="visible" r:id="rId6"/>
  </sheets>
  <definedNames>
    <definedName function="false" hidden="true" localSheetId="0" name="_xlnm._FilterDatabase" vbProcedure="false">Backlog!$A$1:$N$62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<sst xmlns="http://schemas.openxmlformats.org/spreadsheetml/2006/main" count="850" uniqueCount="403">
  <si>
    <t xml:space="preserve">Issue Key</t>
  </si>
  <si>
    <t xml:space="preserve">Issue Type</t>
  </si>
  <si>
    <t xml:space="preserve">Summary</t>
  </si>
  <si>
    <t xml:space="preserve">Epic Name</t>
  </si>
  <si>
    <t xml:space="preserve">Description</t>
  </si>
  <si>
    <t xml:space="preserve">Epic Link</t>
  </si>
  <si>
    <t xml:space="preserve">Priority</t>
  </si>
  <si>
    <t xml:space="preserve">Assignee</t>
  </si>
  <si>
    <t xml:space="preserve">Story Points</t>
  </si>
  <si>
    <t xml:space="preserve">Sprint</t>
  </si>
  <si>
    <t xml:space="preserve">Labels</t>
  </si>
  <si>
    <t xml:space="preserve">Requirements</t>
  </si>
  <si>
    <t xml:space="preserve">Acceptance Criteria</t>
  </si>
  <si>
    <t xml:space="preserve">Status</t>
  </si>
  <si>
    <t xml:space="preserve">CFT-1</t>
  </si>
  <si>
    <t xml:space="preserve">Epic</t>
  </si>
  <si>
    <t xml:space="preserve">File Compression</t>
  </si>
  <si>
    <t xml:space="preserve">Compress a selected file or folder with a supported lossless algorithm, without modifying the original, and report metrics.</t>
  </si>
  <si>
    <t xml:space="preserve">High</t>
  </si>
  <si>
    <t xml:space="preserve">Jai Jaswanth Tummala</t>
  </si>
  <si>
    <t xml:space="preserve">f1</t>
  </si>
  <si>
    <t xml:space="preserve">REQ-001 to REQ-005</t>
  </si>
  <si>
    <t xml:space="preserve">Epic is done when all linked stories are Done.</t>
  </si>
  <si>
    <t xml:space="preserve">To Do</t>
  </si>
  <si>
    <t xml:space="preserve">CFT-2</t>
  </si>
  <si>
    <t xml:space="preserve">Huffman Compression Engine</t>
  </si>
  <si>
    <t xml:space="preserve">Huffman encoding with canonical codes and stored metadata; arbitrary bytes; empty and single-symbol inputs.</t>
  </si>
  <si>
    <t xml:space="preserve">f2</t>
  </si>
  <si>
    <t xml:space="preserve">REQ-006 to REQ-010</t>
  </si>
  <si>
    <t xml:space="preserve">CFT-3</t>
  </si>
  <si>
    <t xml:space="preserve">File Decompression</t>
  </si>
  <si>
    <t xml:space="preserve">Restore files and folders from tool-generated archives exactly, rejecting malformed input and protecting existing files.</t>
  </si>
  <si>
    <t xml:space="preserve">Architha Sidharth Panicker</t>
  </si>
  <si>
    <t xml:space="preserve">f3</t>
  </si>
  <si>
    <t xml:space="preserve">REQ-011 to REQ-015</t>
  </si>
  <si>
    <t xml:space="preserve">CFT-4</t>
  </si>
  <si>
    <t xml:space="preserve">Integrity Validation</t>
  </si>
  <si>
    <t xml:space="preserve">Checksum and header validation so a corrupted archive is never reported as valid.</t>
  </si>
  <si>
    <t xml:space="preserve">f4</t>
  </si>
  <si>
    <t xml:space="preserve">REQ-016 to REQ-019</t>
  </si>
  <si>
    <t xml:space="preserve">CFT-5</t>
  </si>
  <si>
    <t xml:space="preserve">Algorithm Comparison</t>
  </si>
  <si>
    <t xml:space="preserve">Compare at least two algorithms on identical input with consistent measurement; report failures separately.</t>
  </si>
  <si>
    <t xml:space="preserve">Krati Patil</t>
  </si>
  <si>
    <t xml:space="preserve">f5</t>
  </si>
  <si>
    <t xml:space="preserve">REQ-020 to REQ-023</t>
  </si>
  <si>
    <t xml:space="preserve">CFT-6</t>
  </si>
  <si>
    <t xml:space="preserve">Statistics and Reporting</t>
  </si>
  <si>
    <t xml:space="preserve">Ratio and space-saved calculation, readable summaries and report export.</t>
  </si>
  <si>
    <t xml:space="preserve">f6</t>
  </si>
  <si>
    <t xml:space="preserve">REQ-024 to REQ-027</t>
  </si>
  <si>
    <t xml:space="preserve">CFT-7</t>
  </si>
  <si>
    <t xml:space="preserve">Batch Processing</t>
  </si>
  <si>
    <t xml:space="preserve">Process multiple files or a folder with per-item results and a summary; one failure never stops the batch.</t>
  </si>
  <si>
    <t xml:space="preserve">Chandana Rajeswari P</t>
  </si>
  <si>
    <t xml:space="preserve">f7</t>
  </si>
  <si>
    <t xml:space="preserve">REQ-028 to REQ-032</t>
  </si>
  <si>
    <t xml:space="preserve">CFT-8</t>
  </si>
  <si>
    <t xml:space="preserve">Operation History</t>
  </si>
  <si>
    <t xml:space="preserve">Local SQLite history of operations; created automatically; viewable in the application.</t>
  </si>
  <si>
    <t xml:space="preserve">f8</t>
  </si>
  <si>
    <t xml:space="preserve">REQ-033 to REQ-036</t>
  </si>
  <si>
    <t xml:space="preserve">CFT-9</t>
  </si>
  <si>
    <t xml:space="preserve">Desktop Interface</t>
  </si>
  <si>
    <t xml:space="preserve">Tkinter/ttk screens, background worker, progress and clear error feedback.</t>
  </si>
  <si>
    <t xml:space="preserve">Architha Sidharth Panicker / all</t>
  </si>
  <si>
    <t xml:space="preserve">f9</t>
  </si>
  <si>
    <t xml:space="preserve">SRS 3.1, NFR 6.1</t>
  </si>
  <si>
    <t xml:space="preserve">CFT-10</t>
  </si>
  <si>
    <t xml:space="preserve">Platform, CI, Quality and Documentation</t>
  </si>
  <si>
    <t xml:space="preserve">Repository, CI, test infrastructure, fuzz/performance/cross-platform testing, traceability and documentation.</t>
  </si>
  <si>
    <t xml:space="preserve">Medium</t>
  </si>
  <si>
    <t xml:space="preserve">All</t>
  </si>
  <si>
    <t xml:space="preserve">all</t>
  </si>
  <si>
    <t xml:space="preserve">NFR 6.1 to 6.4</t>
  </si>
  <si>
    <t xml:space="preserve">CFT-11</t>
  </si>
  <si>
    <t xml:space="preserve">Task</t>
  </si>
  <si>
    <t xml:space="preserve">Project skeleton and repository structure</t>
  </si>
  <si>
    <t xml:space="preserve">Create src/cft (ui, services, core, infra), tests (unit, integration, system, data), pyproject.toml with Ruff and pytest settings, and a README with setup steps.</t>
  </si>
  <si>
    <t xml:space="preserve">Highest</t>
  </si>
  <si>
    <t xml:space="preserve">Sprint 1</t>
  </si>
  <si>
    <t xml:space="preserve">setup</t>
  </si>
  <si>
    <t xml:space="preserve">NFR 6.4</t>
  </si>
  <si>
    <t xml:space="preserve">Fresh clone installs and runs `pytest` green on an empty suite; `ruff check` passes; layer folders match the architecture document.</t>
  </si>
  <si>
    <t xml:space="preserve">CFT-12</t>
  </si>
  <si>
    <t xml:space="preserve">GitHub Actions CI: lint and tests on 3 OS x Python 3.12/3.13</t>
  </si>
  <si>
    <t xml:space="preserve">Workflow running Ruff and pytest on ubuntu, windows and macos for Python 3.12 and 3.13; Linux job installs xvfb for GUI tests.</t>
  </si>
  <si>
    <t xml:space="preserve">ci</t>
  </si>
  <si>
    <t xml:space="preserve">Every push and PR triggers the matrix; failing test turns the run red; run time under 10 minutes for the current suite.</t>
  </si>
  <si>
    <t xml:space="preserve">CFT-13</t>
  </si>
  <si>
    <t xml:space="preserve">Story</t>
  </si>
  <si>
    <t xml:space="preserve">CompressionAlgorithm interface and AlgorithmRegistry</t>
  </si>
  <si>
    <t xml:space="preserve">As a developer I want one algorithm interface and a registry so that new algorithms plug in without changing the GUI.</t>
  </si>
  <si>
    <t xml:space="preserve">core F1</t>
  </si>
  <si>
    <t xml:space="preserve">REQ-003, REQ-020</t>
  </si>
  <si>
    <t xml:space="preserve">Interface defines build_metadata, compress, decompress, algorithm_id and name; registry registers, lists and gets by name; unknown name raises UnsupportedAlgorithmError; a dummy algorithm can be registered in a test.</t>
  </si>
  <si>
    <t xml:space="preserve">CFT-14</t>
  </si>
  <si>
    <t xml:space="preserve">Archive container: 64-byte header reader and writer</t>
  </si>
  <si>
    <t xml:space="preserve">As a developer I want a fixed header (magic, version, algorithm id, sizes, SHA-256, metadata length, CRC32) so that archives can be validated before decoding.</t>
  </si>
  <si>
    <t xml:space="preserve">core F3</t>
  </si>
  <si>
    <t xml:space="preserve">REQ-008, REQ-012, REQ-018</t>
  </si>
  <si>
    <t xml:space="preserve">Header round-trips; wrong magic, version, CRC or short header raise ArchiveFormatError; file size must equal 64 + metadata + payload; layout matches Section 6.1 of the architecture.</t>
  </si>
  <si>
    <t xml:space="preserve">CFT-15</t>
  </si>
  <si>
    <t xml:space="preserve">PathValidator: input checks and safe_join</t>
  </si>
  <si>
    <t xml:space="preserve">As a user I want invalid inputs rejected clearly so that I know what to fix.</t>
  </si>
  <si>
    <t xml:space="preserve">core F1 security</t>
  </si>
  <si>
    <t xml:space="preserve">REQ-001, REQ-002, NFR 6.3</t>
  </si>
  <si>
    <t xml:space="preserve">Existing file/folder accepted; missing, unreadable, special-file and broken-symlink inputs rejected with specific messages; safe_join rejects absolute paths, drive letters, '..' and NUL.</t>
  </si>
  <si>
    <t xml:space="preserve">CFT-16</t>
  </si>
  <si>
    <t xml:space="preserve">SQLite schema and repository bootstrap</t>
  </si>
  <si>
    <t xml:space="preserve">As a user I want the history database created automatically so that the app starts on first run.</t>
  </si>
  <si>
    <t xml:space="preserve">core F8</t>
  </si>
  <si>
    <t xml:space="preserve">REQ-033, REQ-036</t>
  </si>
  <si>
    <t xml:space="preserve">Missing or empty DB file gets the operation_history table and index; app startup does not fail; schema matches the Field Layouts workbook.</t>
  </si>
  <si>
    <t xml:space="preserve">CFT-17</t>
  </si>
  <si>
    <t xml:space="preserve">Metrics: compression ratio and space saved</t>
  </si>
  <si>
    <t xml:space="preserve">As a user I want accurate ratio and space-saved figures so that I can judge compression.</t>
  </si>
  <si>
    <t xml:space="preserve">core F6</t>
  </si>
  <si>
    <t xml:space="preserve">REQ-025, REQ-026</t>
  </si>
  <si>
    <t xml:space="preserve">ratio = compressed/original; saved % = (original-compressed)/original*100; expansion gives ratio above 1 and negative saved %; 0-byte original returns N/A without exceptions.</t>
  </si>
  <si>
    <t xml:space="preserve">CFT-18</t>
  </si>
  <si>
    <t xml:space="preserve">Test fixtures and edge-case data generator</t>
  </si>
  <si>
    <t xml:space="preserve">Seeded generators for empty, 1-byte, single-symbol, all-bytes, random, repetitive and nested-folder data, plus corrupt and traversal archive builders.</t>
  </si>
  <si>
    <t xml:space="preserve">testing</t>
  </si>
  <si>
    <t xml:space="preserve">Fixtures are deterministic and available to all tests; large files are generated at test time, not committed; data sets match Section 6.2 of the Test Plan.</t>
  </si>
  <si>
    <t xml:space="preserve">CFT-19</t>
  </si>
  <si>
    <t xml:space="preserve">UI shell: main window with navigation</t>
  </si>
  <si>
    <t xml:space="preserve">As a user I want a main screen with Compress, Decompress, Compare, Batch, History and Help so that features are easy to find.</t>
  </si>
  <si>
    <t xml:space="preserve">ui F9</t>
  </si>
  <si>
    <t xml:space="preserve">SRS 3.1</t>
  </si>
  <si>
    <t xml:space="preserve">Window opens on all three OS; each navigation entry shows its placeholder view; no business logic in view classes.</t>
  </si>
  <si>
    <t xml:space="preserve">CFT-20</t>
  </si>
  <si>
    <t xml:space="preserve">Huffman: chunked frequency counting</t>
  </si>
  <si>
    <t xml:space="preserve">As a developer I want symbol frequencies computed from a stream so that large files need little memory.</t>
  </si>
  <si>
    <t xml:space="preserve">Sprint 2</t>
  </si>
  <si>
    <t xml:space="preserve">core F2</t>
  </si>
  <si>
    <t xml:space="preserve">REQ-006</t>
  </si>
  <si>
    <t xml:space="preserve">Frequency table for b'aabbbc' is {a:2,b:3,c:1}; chunked and single-pass results are identical for a 5 MB input.</t>
  </si>
  <si>
    <t xml:space="preserve">CFT-21</t>
  </si>
  <si>
    <t xml:space="preserve">Huffman: canonical prefix-free codes with deterministic ties</t>
  </si>
  <si>
    <t xml:space="preserve">As a developer I want deterministic prefix-free codes so that output is reproducible.</t>
  </si>
  <si>
    <t xml:space="preserve">REQ-007</t>
  </si>
  <si>
    <t xml:space="preserve">No code is a prefix of another (property test); more frequent symbols never get longer codes; same input gives byte-identical output.</t>
  </si>
  <si>
    <t xml:space="preserve">CFT-22</t>
  </si>
  <si>
    <t xml:space="preserve">Huffman: code-length metadata serialisation</t>
  </si>
  <si>
    <t xml:space="preserve">As a developer I want the code table stored compactly so that the decoder can rebuild it from the archive alone.</t>
  </si>
  <si>
    <t xml:space="preserve">REQ-008</t>
  </si>
  <si>
    <t xml:space="preserve">256-byte code-length block written and read back; decoder restores data using only the metadata.</t>
  </si>
  <si>
    <t xml:space="preserve">CFT-23</t>
  </si>
  <si>
    <t xml:space="preserve">Huffman: encode and decode arbitrary bytes</t>
  </si>
  <si>
    <t xml:space="preserve">As a user I want any file type compressed so that binary files work.</t>
  </si>
  <si>
    <t xml:space="preserve">REQ-009</t>
  </si>
  <si>
    <t xml:space="preserve">All 256 byte values and 1 MB random data round-trip exactly; final partial byte handled correctly.</t>
  </si>
  <si>
    <t xml:space="preserve">CFT-24</t>
  </si>
  <si>
    <t xml:space="preserve">Huffman: empty and single-symbol inputs</t>
  </si>
  <si>
    <t xml:space="preserve">As a user I want edge-case files handled so that nothing crashes or corrupts.</t>
  </si>
  <si>
    <t xml:space="preserve">REQ-010</t>
  </si>
  <si>
    <t xml:space="preserve">Empty file, one-byte file, single repeated symbol and two-symbol inputs round-trip; single symbol uses the 1-bit code rule.</t>
  </si>
  <si>
    <t xml:space="preserve">CFT-25</t>
  </si>
  <si>
    <t xml:space="preserve">RLE codec</t>
  </si>
  <si>
    <t xml:space="preserve">As a user I want a second algorithm so that comparison is meaningful.</t>
  </si>
  <si>
    <t xml:space="preserve">core F5</t>
  </si>
  <si>
    <t xml:space="preserve">REQ-020</t>
  </si>
  <si>
    <t xml:space="preserve">(count 1-255, value) pairs; round-trips binary data and runs longer than 255; registered in the registry.</t>
  </si>
  <si>
    <t xml:space="preserve">CFT-26</t>
  </si>
  <si>
    <t xml:space="preserve">LZW codec (9-12 bit codes, dictionary reset)</t>
  </si>
  <si>
    <t xml:space="preserve">As a user I want a dictionary-based algorithm so that I can compare it with Huffman and RLE.</t>
  </si>
  <si>
    <t xml:space="preserve">Round-trips text, binary and repetitive data; CLEAR/EOF codes handled; dictionary resets when full; registered in the registry.</t>
  </si>
  <si>
    <t xml:space="preserve">CFT-27</t>
  </si>
  <si>
    <t xml:space="preserve">Compression service: single file without touching the original</t>
  </si>
  <si>
    <t xml:space="preserve">As a user I want my original file left unchanged so that compression is safe.</t>
  </si>
  <si>
    <t xml:space="preserve">service F1</t>
  </si>
  <si>
    <t xml:space="preserve">REQ-001, REQ-003, REQ-004</t>
  </si>
  <si>
    <t xml:space="preserve">Archive created through temp file and atomic rename; source hash and mtime unchanged; output path equal to input path refused; chosen algorithm id is in the header.</t>
  </si>
  <si>
    <t xml:space="preserve">CFT-28</t>
  </si>
  <si>
    <t xml:space="preserve">Folder compression via container stream</t>
  </si>
  <si>
    <t xml:space="preserve">As a user I want to compress a whole folder so that I get one archive.</t>
  </si>
  <si>
    <t xml:space="preserve">REQ-001</t>
  </si>
  <si>
    <t xml:space="preserve">Nested folders, empty subfolders and unicode names are stored with relative paths; symlinks are reported as unsupported.</t>
  </si>
  <si>
    <t xml:space="preserve">CFT-29</t>
  </si>
  <si>
    <t xml:space="preserve">Compression result: sizes, ratio, space saved, elapsed time</t>
  </si>
  <si>
    <t xml:space="preserve">As a user I want to see how well compression worked.</t>
  </si>
  <si>
    <t xml:space="preserve">REQ-005</t>
  </si>
  <si>
    <t xml:space="preserve">OpResult contains original size, compressed size, ratio, space saved and elapsed ms matching independent calculation.</t>
  </si>
  <si>
    <t xml:space="preserve">CFT-30</t>
  </si>
  <si>
    <t xml:space="preserve">SHA-256 checksum stored in the archive header</t>
  </si>
  <si>
    <t xml:space="preserve">As a user I want an integrity digest stored so that corruption can be detected.</t>
  </si>
  <si>
    <t xml:space="preserve">core F4</t>
  </si>
  <si>
    <t xml:space="preserve">REQ-016</t>
  </si>
  <si>
    <t xml:space="preserve">Digest equals hashlib.sha256 of the container stream; computed while streaming; shown as 64 hex characters.</t>
  </si>
  <si>
    <t xml:space="preserve">CFT-31</t>
  </si>
  <si>
    <t xml:space="preserve">Decompression service: dispatch by algorithm id and restore bytes</t>
  </si>
  <si>
    <t xml:space="preserve">As a user I want to restore my files exactly.</t>
  </si>
  <si>
    <t xml:space="preserve">service F3</t>
  </si>
  <si>
    <t xml:space="preserve">REQ-011, REQ-013</t>
  </si>
  <si>
    <t xml:space="preserve">Round trip for each algorithm gives byte-identical files and folders; temp output used until verification passes.</t>
  </si>
  <si>
    <t xml:space="preserve">CFT-32</t>
  </si>
  <si>
    <t xml:space="preserve">Reject malformed or unsupported archives</t>
  </si>
  <si>
    <t xml:space="preserve">As a user I want a clear error for bad archives instead of garbage output.</t>
  </si>
  <si>
    <t xml:space="preserve">REQ-012</t>
  </si>
  <si>
    <t xml:space="preserve">Non-archives, truncated headers/payloads, unknown versions and algorithm ids give distinct messages; no output left on disk.</t>
  </si>
  <si>
    <t xml:space="preserve">CFT-33</t>
  </si>
  <si>
    <t xml:space="preserve">History repository: insert and query</t>
  </si>
  <si>
    <t xml:space="preserve">As a user I want every operation recorded so that I can review it later.</t>
  </si>
  <si>
    <t xml:space="preserve">REQ-033, REQ-034</t>
  </si>
  <si>
    <t xml:space="preserve">Parameterised inserts; lengths clipped to 255/1024/500; mandatory fields always set; SQL metacharacters in names are stored as data; file content never stored.</t>
  </si>
  <si>
    <t xml:space="preserve">CFT-34</t>
  </si>
  <si>
    <t xml:space="preserve">Overwrite confirmation and atomic write</t>
  </si>
  <si>
    <t xml:space="preserve">As a user I want to be asked before an existing file is replaced.</t>
  </si>
  <si>
    <t xml:space="preserve">Sprint 3</t>
  </si>
  <si>
    <t xml:space="preserve">REQ-014</t>
  </si>
  <si>
    <t xml:space="preserve">Existing destination raises DestinationExistsError; decline leaves file untouched; confirm replaces via temp file and os.replace.</t>
  </si>
  <si>
    <t xml:space="preserve">CFT-35</t>
  </si>
  <si>
    <t xml:space="preserve">Decompression result reporting</t>
  </si>
  <si>
    <t xml:space="preserve">As a user I want to know where files were restored.</t>
  </si>
  <si>
    <t xml:space="preserve">REQ-015</t>
  </si>
  <si>
    <t xml:space="preserve">Result includes destination path, restored size and validation status.</t>
  </si>
  <si>
    <t xml:space="preserve">CFT-36</t>
  </si>
  <si>
    <t xml:space="preserve">Folder extraction with path-traversal protection</t>
  </si>
  <si>
    <t xml:space="preserve">As a user I want extraction to be safe even for hostile archives.</t>
  </si>
  <si>
    <t xml:space="preserve">service F3 security</t>
  </si>
  <si>
    <t xml:space="preserve">NFR 6.3</t>
  </si>
  <si>
    <t xml:space="preserve">Entries with '../', absolute, drive-letter or backslash tricks are rejected; nothing written outside the destination; symlinks never created.</t>
  </si>
  <si>
    <t xml:space="preserve">CFT-37</t>
  </si>
  <si>
    <t xml:space="preserve">Checksum mismatch detection and never-success rule</t>
  </si>
  <si>
    <t xml:space="preserve">As a user I want corrupted archives reported as invalid.</t>
  </si>
  <si>
    <t xml:space="preserve">service F4</t>
  </si>
  <si>
    <t xml:space="preserve">REQ-017, REQ-019</t>
  </si>
  <si>
    <t xml:space="preserve">Bit flip or altered digest gives INVALID; temp output deleted; history status INVALID; no success message; fuzz cases never pass.</t>
  </si>
  <si>
    <t xml:space="preserve">CFT-38</t>
  </si>
  <si>
    <t xml:space="preserve">Header and metadata consistency checks</t>
  </si>
  <si>
    <t xml:space="preserve">As a user I want inconsistent archives detected before decoding.</t>
  </si>
  <si>
    <t xml:space="preserve">REQ-018</t>
  </si>
  <si>
    <t xml:space="preserve">Bad magic, CRC, algorithm id and declared-size mismatch are detected and reported as INVALID.</t>
  </si>
  <si>
    <t xml:space="preserve">CFT-39</t>
  </si>
  <si>
    <t xml:space="preserve">Comparison service with per-algorithm failure isolation</t>
  </si>
  <si>
    <t xml:space="preserve">As a user I want to compare algorithms on my file.</t>
  </si>
  <si>
    <t xml:space="preserve">service F5</t>
  </si>
  <si>
    <t xml:space="preserve">REQ-020, REQ-021, REQ-022, REQ-023</t>
  </si>
  <si>
    <t xml:space="preserve">At least two algorithms required; identical input for each; per-algorithm metrics returned; a failing algorithm is listed as FAILED while others still report.</t>
  </si>
  <si>
    <t xml:space="preserve">CFT-40</t>
  </si>
  <si>
    <t xml:space="preserve">Consistent timing harness</t>
  </si>
  <si>
    <t xml:space="preserve">As a user I want fair timing figures.</t>
  </si>
  <si>
    <t xml:space="preserve">REQ-021, REQ-022</t>
  </si>
  <si>
    <t xml:space="preserve">Uses time.perf_counter, sequential runs, counting null sink instead of disk; clock injectable for tests.</t>
  </si>
  <si>
    <t xml:space="preserve">CFT-41</t>
  </si>
  <si>
    <t xml:space="preserve">Statistics summary view</t>
  </si>
  <si>
    <t xml:space="preserve">As a user I want a readable summary of operations.</t>
  </si>
  <si>
    <t xml:space="preserve">ui F6</t>
  </si>
  <si>
    <t xml:space="preserve">REQ-024</t>
  </si>
  <si>
    <t xml:space="preserve">Table shows type, source, algorithm, sizes, ratio, saved %, time and status; N/A shown for zero-size inputs.</t>
  </si>
  <si>
    <t xml:space="preserve">CFT-42</t>
  </si>
  <si>
    <t xml:space="preserve">Report export (CSV and TXT)</t>
  </si>
  <si>
    <t xml:space="preserve">As a user I want to export results.</t>
  </si>
  <si>
    <t xml:space="preserve">service F6</t>
  </si>
  <si>
    <t xml:space="preserve">REQ-027</t>
  </si>
  <si>
    <t xml:space="preserve">Compression and comparison reports contain exactly the Field Layouts report fields; unwritable target gives a clear error and no partial file.</t>
  </si>
  <si>
    <t xml:space="preserve">CFT-43</t>
  </si>
  <si>
    <t xml:space="preserve">Batch service: queue, per-item results, failure isolation</t>
  </si>
  <si>
    <t xml:space="preserve">As a user I want to process many files at once and keep going if one fails.</t>
  </si>
  <si>
    <t xml:space="preserve">service F7</t>
  </si>
  <si>
    <t xml:space="preserve">REQ-028, REQ-029, REQ-030, REQ-031</t>
  </si>
  <si>
    <t xml:space="preserve">Files or folder expanded; no valid item skipped; per-item SUCCESS/FAILED with reason; existing destination marked FAILED, not overwritten; same-named files in different folders do not collide.</t>
  </si>
  <si>
    <t xml:space="preserve">CFT-44</t>
  </si>
  <si>
    <t xml:space="preserve">Batch summary and counts</t>
  </si>
  <si>
    <t xml:space="preserve">As a user I want a summary of the batch.</t>
  </si>
  <si>
    <t xml:space="preserve">REQ-032</t>
  </si>
  <si>
    <t xml:space="preserve">processed = successful + failed for all-success, all-failed and mixed batches; empty selection gives a message and no history row.</t>
  </si>
  <si>
    <t xml:space="preserve">CFT-45</t>
  </si>
  <si>
    <t xml:space="preserve">History view: list, newest first, filter</t>
  </si>
  <si>
    <t xml:space="preserve">As a user I want to browse past operations.</t>
  </si>
  <si>
    <t xml:space="preserve">ui F8</t>
  </si>
  <si>
    <t xml:space="preserve">REQ-035</t>
  </si>
  <si>
    <t xml:space="preserve">Records shown newest first; filter by operation type; survives app restart.</t>
  </si>
  <si>
    <t xml:space="preserve">CFT-46</t>
  </si>
  <si>
    <t xml:space="preserve">TaskRunner: worker thread, queues, progress and cancel</t>
  </si>
  <si>
    <t xml:space="preserve">As a user I want the window to stay responsive during long operations.</t>
  </si>
  <si>
    <t xml:space="preserve">ui F9 performance</t>
  </si>
  <si>
    <t xml:space="preserve">NFR 6.1</t>
  </si>
  <si>
    <t xml:space="preserve">Tasks run off the UI thread; progress events are monotonic; cancel stops between chunks and removes temp files; Tk heartbeat gap stays below 200 ms in the 100 MB test.</t>
  </si>
  <si>
    <t xml:space="preserve">CFT-47</t>
  </si>
  <si>
    <t xml:space="preserve">Compress screen</t>
  </si>
  <si>
    <t xml:space="preserve">As a user I want to pick a file or folder, an algorithm and a destination, and see results.</t>
  </si>
  <si>
    <t xml:space="preserve">REQ-001, REQ-003, REQ-005</t>
  </si>
  <si>
    <t xml:space="preserve">File/folder dialogs; algorithm list built from the registry; progress bar; results panel with the five metrics; clear error dialogs.</t>
  </si>
  <si>
    <t xml:space="preserve">CFT-48</t>
  </si>
  <si>
    <t xml:space="preserve">Decompress screen with overwrite dialog</t>
  </si>
  <si>
    <t xml:space="preserve">As a user I want to restore archives from the GUI.</t>
  </si>
  <si>
    <t xml:space="preserve">REQ-011, REQ-014, REQ-015</t>
  </si>
  <si>
    <t xml:space="preserve">Archive picker; destination chooser; overwrite confirmation dialog; success shows destination; invalid archive shows an error, not success.</t>
  </si>
  <si>
    <t xml:space="preserve">CFT-49</t>
  </si>
  <si>
    <t xml:space="preserve">Compare screen</t>
  </si>
  <si>
    <t xml:space="preserve">As a user I want to run a comparison from the GUI.</t>
  </si>
  <si>
    <t xml:space="preserve">Sprint 4</t>
  </si>
  <si>
    <t xml:space="preserve">REQ-020, REQ-022, REQ-023</t>
  </si>
  <si>
    <t xml:space="preserve">Select at least two algorithms; results table; failed runs shown in a separate section.</t>
  </si>
  <si>
    <t xml:space="preserve">CFT-50</t>
  </si>
  <si>
    <t xml:space="preserve">Batch screen</t>
  </si>
  <si>
    <t xml:space="preserve">As a user I want to run batches from the GUI.</t>
  </si>
  <si>
    <t xml:space="preserve">REQ-028, REQ-032</t>
  </si>
  <si>
    <t xml:space="preserve">Multi-file and folder selection; live per-item status; summary dialog at the end.</t>
  </si>
  <si>
    <t xml:space="preserve">CFT-51</t>
  </si>
  <si>
    <t xml:space="preserve">Error-message catalogue and dialogs</t>
  </si>
  <si>
    <t xml:space="preserve">As a user I want errors that say what failed and what to do.</t>
  </si>
  <si>
    <t xml:space="preserve">ui F9 usability</t>
  </si>
  <si>
    <t xml:space="preserve">One catalogue maps every CftError subclass to a message; no stack traces shown; usability checklist (TC-072) passes.</t>
  </si>
  <si>
    <t xml:space="preserve">CFT-52</t>
  </si>
  <si>
    <t xml:space="preserve">Disk-full and permission failure handling with cleanup</t>
  </si>
  <si>
    <t xml:space="preserve">As a user I want failures to leave no half-written files and no false success.</t>
  </si>
  <si>
    <t xml:space="preserve">service F1 safety</t>
  </si>
  <si>
    <t xml:space="preserve">NFR 6.2</t>
  </si>
  <si>
    <t xml:space="preserve">Simulated ENOSPC and permission errors give StorageError, remove temp output and record FAILED.</t>
  </si>
  <si>
    <t xml:space="preserve">CFT-53</t>
  </si>
  <si>
    <t xml:space="preserve">Corrupt or locked history database fallback</t>
  </si>
  <si>
    <t xml:space="preserve">As a user I want the app to keep working if history breaks.</t>
  </si>
  <si>
    <t xml:space="preserve">REQ-036</t>
  </si>
  <si>
    <t xml:space="preserve">Corrupt or locked DB shows one warning; compression and decompression still work; history disabled for the session.</t>
  </si>
  <si>
    <t xml:space="preserve">CFT-54</t>
  </si>
  <si>
    <t xml:space="preserve">Fuzz and property tests with Hypothesis</t>
  </si>
  <si>
    <t xml:space="preserve">Round-trip properties for all algorithms and mutation fuzzing of archives.</t>
  </si>
  <si>
    <t xml:space="preserve">REQ-013, REQ-017, REQ-018, REQ-019</t>
  </si>
  <si>
    <t xml:space="preserve">Round-trip property passes for all registered algorithms; 500 mutated archives never reported valid unless identical; seeds fixed in CI.</t>
  </si>
  <si>
    <t xml:space="preserve">CFT-55</t>
  </si>
  <si>
    <t xml:space="preserve">Performance and memory baselines</t>
  </si>
  <si>
    <t xml:space="preserve">Measure speed and peak memory for 10 MB and 100 MB inputs on the reference laptop; freeze thresholds.</t>
  </si>
  <si>
    <t xml:space="preserve">testing performance</t>
  </si>
  <si>
    <t xml:space="preserve">Baseline table committed; peak memory within the agreed ceiling; findings logged as issues if exceeded.</t>
  </si>
  <si>
    <t xml:space="preserve">CFT-56</t>
  </si>
  <si>
    <t xml:space="preserve">Coverage gate and static analysis in CI</t>
  </si>
  <si>
    <t xml:space="preserve">Enforce coverage targets and Ruff in CI; add dependency-rule check (core imports nothing from ui/infra).</t>
  </si>
  <si>
    <t xml:space="preserve">CI fails below 80% overall, 90% core, 85% services/infra; import rule test passes.</t>
  </si>
  <si>
    <t xml:space="preserve">CFT-57</t>
  </si>
  <si>
    <t xml:space="preserve">Cross-platform smoke test (Windows, Linux, macOS)</t>
  </si>
  <si>
    <t xml:space="preserve">Run ST-01, ST-04 and ST-10 manually on all three systems and record results.</t>
  </si>
  <si>
    <t xml:space="preserve">Same behaviour on all three; platform issues logged and fixed or documented.</t>
  </si>
  <si>
    <t xml:space="preserve">CFT-58</t>
  </si>
  <si>
    <t xml:space="preserve">Execute system tests ST-01 to ST-16 and log defects</t>
  </si>
  <si>
    <t xml:space="preserve">Formal system test run and regression, with a test summary report.</t>
  </si>
  <si>
    <t xml:space="preserve">All REQ</t>
  </si>
  <si>
    <t xml:space="preserve">All STs executed and recorded; defects logged as GitHub issues; summary report committed; exit criteria evaluated.</t>
  </si>
  <si>
    <t xml:space="preserve">CFT-59</t>
  </si>
  <si>
    <t xml:space="preserve">Update RTM with code and test references</t>
  </si>
  <si>
    <t xml:space="preserve">Replace TBD entries in SRS Appendix C with real code files and TC/ST IDs.</t>
  </si>
  <si>
    <t xml:space="preserve">docs</t>
  </si>
  <si>
    <t xml:space="preserve">All 36 rows have code file, TC and ST references; matrix reviewed by the team.</t>
  </si>
  <si>
    <t xml:space="preserve">CFT-60</t>
  </si>
  <si>
    <t xml:space="preserve">README, user guide and Help screen content</t>
  </si>
  <si>
    <t xml:space="preserve">Document install, usage, archive format notes and known limits (timestamps and permissions not preserved).</t>
  </si>
  <si>
    <t xml:space="preserve">README and Help screen describe all screens; limits listed; steps verified on a clean machine.</t>
  </si>
  <si>
    <t xml:space="preserve">CFT-61</t>
  </si>
  <si>
    <t xml:space="preserve">Final report and demo script</t>
  </si>
  <si>
    <t xml:space="preserve">Compile final report and rehearse the demonstration.</t>
  </si>
  <si>
    <t xml:space="preserve">Report and demo script complete; demo run end to end without errors.</t>
  </si>
  <si>
    <t xml:space="preserve">Epic Key</t>
  </si>
  <si>
    <t xml:space="preserve">Feature</t>
  </si>
  <si>
    <t xml:space="preserve">Owner</t>
  </si>
  <si>
    <t xml:space="preserve">Stories and tasks</t>
  </si>
  <si>
    <t xml:space="preserve">Story points</t>
  </si>
  <si>
    <t xml:space="preserve">Share of total points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</si>
  <si>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</si>
  <si>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</si>
  <si>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</si>
  <si>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</si>
  <si>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</si>
  <si>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</si>
  <si>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</si>
  <si>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</si>
  <si>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</si>
  <si>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Total</t>
  </si>
  <si>
    <t xml:space="preserve">Sprint plan and workload</t>
  </si>
  <si>
    <t xml:space="preserve">Goal</t>
  </si>
  <si>
    <t xml:space="preserve">Share of total</t>
  </si>
  <si>
    <t xml:space="preserve">Load vs average</t>
  </si>
  <si>
    <t xml:space="preserve">Foundation: repo, CI, interfaces, container header, path rules, schema, metrics, fixtures, UI shell.</t>
  </si>
  <si>
    <t xml:space="preserve">Core engines: Huffman, RLE, LZW; compression and decompression services; checksum; history repository.</t>
  </si>
  <si>
    <t xml:space="preserve">Features and UI: integrity rules, comparison, statistics, batch and history services, background worker, Compress/Decompress/Statistics/History screens.</t>
  </si>
  <si>
    <t xml:space="preserve">Hardening and release: Compare and Batch screens, failure handling, fuzz, performance, cross-platform, system tests, RTM, documentation.</t>
  </si>
  <si>
    <t xml:space="preserve">Story points by assignee and sprint</t>
  </si>
  <si>
    <t xml:space="preserve">Check: total points by assignee equals total points by sprint</t>
  </si>
  <si>
    <t xml:space="preserve">Assumptions</t>
  </si>
  <si>
    <t xml:space="preserve">Sprint length and calendar dates are not fixed yet; set them in Jira once the course calendar is confirmed.</t>
  </si>
  <si>
    <t xml:space="preserve">Story points are relative (Fibonacci scale 1-2-3-5-8). Velocity is unknown: after Sprint 1 compare actual points done with the plan and move stories between Sprint 3 and Sprint 4 if needed.</t>
  </si>
  <si>
    <t xml:space="preserve">Sprint 3 was the heaviest sprint, so the Compare and Batch screens (CFT-49, CFT-50) are planned in Sprint 4; they only need the services built in Sprint 3. If velocity is still low, CFT-41 (statistics view) can follow them.</t>
  </si>
  <si>
    <t xml:space="preserve">Assignees follow the ownership in the proposal; TaskRunner (CFT-46), RLE (CFT-25), LZW (CFT-26) and the RTM/report tasks are shared to balance load.</t>
  </si>
  <si>
    <t xml:space="preserve">Load per person is uneven by sprint: Jai peaks in Sprint 2 (Huffman engine and services), Krati peaks in Sprint 3 and Chandana in Sprints 3-4. Pair on Huffman stories (CFT-21, CFT-23) if Jai falls behind.</t>
  </si>
  <si>
    <t xml:space="preserve">Team 22 - Ctrl Freaks | Project 76 - File Compression Tool | Jira Backlog</t>
  </si>
  <si>
    <t xml:space="preserve">Purpose</t>
  </si>
  <si>
    <t xml:space="preserve">Product backlog for the File Compression Tool: 10 epics (one per feature F1-F9 plus platform/quality) and 51 stories/tasks, estimated, prioritised, assigned and planned over 4 sprints. Every story lists the SRS requirements it satisfies.</t>
  </si>
  <si>
    <t xml:space="preserve">Sheets</t>
  </si>
  <si>
    <t xml:space="preserve">Backlog = importable issue list. Epics = story counts and points per epic (formulas). Sprint Plan = points per sprint and per member (formulas).</t>
  </si>
  <si>
    <t xml:space="preserve">Importing into Jira</t>
  </si>
  <si>
    <t xml:space="preserve">1) Create the project. 2) Import the Backlog sheet as CSV (File &gt; Save as CSV). 3) Map columns: Summary, Issue Type, Description, Priority, Assignee, Labels, Story Points (Story point estimate), Sprint. 4) Epic rows use Epic Name; stories link through Epic Link (company-managed projects) or Parent (team-managed projects). 5) Assignees must be matched to Jira user accounts. Issue Key values here are planning IDs; Jira assigns the real keys on import, so re-link references if they differ.</t>
  </si>
  <si>
    <t xml:space="preserve">Workflow</t>
  </si>
  <si>
    <t xml:space="preserve">To Do &gt; In Progress &gt; In Review &gt; Ready for Test &gt; Done. Bugs found in testing are logged as GitHub issues linked to the story and the TC/ST ID.</t>
  </si>
  <si>
    <t xml:space="preserve">Definition of Ready</t>
  </si>
  <si>
    <t xml:space="preserve">Story has a requirement reference, acceptance criteria, an estimate and an assignee; dependencies are Done or in the same sprint.</t>
  </si>
  <si>
    <t xml:space="preserve">Definition of Done</t>
  </si>
  <si>
    <t xml:space="preserve">Code merged by pull request with one review from the paired member; unit and integration tests for the story written with REQ markers and passing; CI green on all three OS; acceptance criteria demonstrated; documentation updated; no open Critical or High defects on the story.</t>
  </si>
  <si>
    <t xml:space="preserve">Estimation</t>
  </si>
  <si>
    <t xml:space="preserve">Story points use the Fibonacci scale (1, 2, 3, 5, 8). 8 is the largest item (CFT-43); anything bigger should be split.</t>
  </si>
  <si>
    <t xml:space="preserve">Highest = blocks other work or protects data correctness; High = required feature; Medium = required but not blocking; Low = nice to have.</t>
  </si>
  <si>
    <t xml:space="preserve">Traceability</t>
  </si>
  <si>
    <t xml:space="preserve">Requirements column links to SRS REQ IDs; test coverage for each REQ is in 22_Project Test Plan (TC and ST IDs); architecture references are in 22_SW Architecture.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</si>
</sst>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4"/>
      </left>
      <right style="thin">
        <color rgb="FFB7C3D4"/>
      </right>
      <top style="thin">
        <color rgb="FFB7C3D4"/>
      </top>
      <bottom style="thin">
        <color rgb="FFB7C3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0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4"/>
      <rgbColor rgb="FF808080"/>
      <rgbColor rgb="FF9999FF"/>
      <rgbColor rgb="FF993366"/>
      <rgbColor rgb="FFFFFF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44"/>
    <col collapsed="false" customWidth="true" hidden="false" outlineLevel="0" max="4" min="4" style="1" width="24"/>
    <col collapsed="false" customWidth="true" hidden="false" outlineLevel="0" max="5" min="5" style="1" width="60"/>
    <col collapsed="false" customWidth="true" hidden="false" outlineLevel="0" max="7" min="6" style="1" width="10"/>
    <col collapsed="false" customWidth="true" hidden="false" outlineLevel="0" max="8" min="8" style="1" width="26"/>
    <col collapsed="false" customWidth="true" hidden="false" outlineLevel="0" max="9" min="9" style="1" width="9"/>
    <col collapsed="false" customWidth="true" hidden="false" outlineLevel="0" max="10" min="10" style="1" width="10"/>
    <col collapsed="false" customWidth="true" hidden="false" outlineLevel="0" max="11" min="11" style="1" width="22"/>
    <col collapsed="false" customWidth="true" hidden="false" outlineLevel="0" max="12" min="12" style="1" width="24"/>
    <col collapsed="false" customWidth="true" hidden="false" outlineLevel="0" max="13" min="13" style="1" width="70"/>
    <col collapsed="false" customWidth="true" hidden="false" outlineLevel="0" max="14" min="14" style="1" width="1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21.75" hidden="false" customHeight="true" outlineLevel="0" collapsed="false">
      <c r="A2" s="3" t="s">
        <v>14</v>
      </c>
      <c r="B2" s="4" t="s">
        <v>15</v>
      </c>
      <c r="C2" s="3" t="s">
        <v>16</v>
      </c>
      <c r="D2" s="4" t="s">
        <v>16</v>
      </c>
      <c r="E2" s="4" t="s">
        <v>17</v>
      </c>
      <c r="F2" s="4"/>
      <c r="G2" s="4" t="s">
        <v>18</v>
      </c>
      <c r="H2" s="4" t="s">
        <v>19</v>
      </c>
      <c r="I2" s="5"/>
      <c r="J2" s="4"/>
      <c r="K2" s="4" t="s">
        <v>20</v>
      </c>
      <c r="L2" s="4" t="s">
        <v>21</v>
      </c>
      <c r="M2" s="4" t="s">
        <v>22</v>
      </c>
      <c r="N2" s="4" t="s">
        <v>23</v>
      </c>
    </row>
    <row r="3" customFormat="false" ht="21.75" hidden="false" customHeight="true" outlineLevel="0" collapsed="false">
      <c r="A3" s="3" t="s">
        <v>24</v>
      </c>
      <c r="B3" s="4" t="s">
        <v>15</v>
      </c>
      <c r="C3" s="3" t="s">
        <v>25</v>
      </c>
      <c r="D3" s="4" t="s">
        <v>25</v>
      </c>
      <c r="E3" s="4" t="s">
        <v>26</v>
      </c>
      <c r="F3" s="4"/>
      <c r="G3" s="4" t="s">
        <v>18</v>
      </c>
      <c r="H3" s="4" t="s">
        <v>19</v>
      </c>
      <c r="I3" s="5"/>
      <c r="J3" s="4"/>
      <c r="K3" s="4" t="s">
        <v>27</v>
      </c>
      <c r="L3" s="4" t="s">
        <v>28</v>
      </c>
      <c r="M3" s="4" t="s">
        <v>22</v>
      </c>
      <c r="N3" s="4" t="s">
        <v>23</v>
      </c>
    </row>
    <row r="4" customFormat="false" ht="21.75" hidden="false" customHeight="true" outlineLevel="0" collapsed="false">
      <c r="A4" s="3" t="s">
        <v>29</v>
      </c>
      <c r="B4" s="4" t="s">
        <v>15</v>
      </c>
      <c r="C4" s="3" t="s">
        <v>30</v>
      </c>
      <c r="D4" s="4" t="s">
        <v>30</v>
      </c>
      <c r="E4" s="4" t="s">
        <v>31</v>
      </c>
      <c r="F4" s="4"/>
      <c r="G4" s="4" t="s">
        <v>18</v>
      </c>
      <c r="H4" s="4" t="s">
        <v>32</v>
      </c>
      <c r="I4" s="5"/>
      <c r="J4" s="4"/>
      <c r="K4" s="4" t="s">
        <v>33</v>
      </c>
      <c r="L4" s="4" t="s">
        <v>34</v>
      </c>
      <c r="M4" s="4" t="s">
        <v>22</v>
      </c>
      <c r="N4" s="4" t="s">
        <v>23</v>
      </c>
    </row>
    <row r="5" customFormat="false" ht="21.75" hidden="false" customHeight="true" outlineLevel="0" collapsed="false">
      <c r="A5" s="3" t="s">
        <v>35</v>
      </c>
      <c r="B5" s="4" t="s">
        <v>15</v>
      </c>
      <c r="C5" s="3" t="s">
        <v>36</v>
      </c>
      <c r="D5" s="4" t="s">
        <v>36</v>
      </c>
      <c r="E5" s="4" t="s">
        <v>37</v>
      </c>
      <c r="F5" s="4"/>
      <c r="G5" s="4" t="s">
        <v>18</v>
      </c>
      <c r="H5" s="4" t="s">
        <v>32</v>
      </c>
      <c r="I5" s="5"/>
      <c r="J5" s="4"/>
      <c r="K5" s="4" t="s">
        <v>38</v>
      </c>
      <c r="L5" s="4" t="s">
        <v>39</v>
      </c>
      <c r="M5" s="4" t="s">
        <v>22</v>
      </c>
      <c r="N5" s="4" t="s">
        <v>23</v>
      </c>
    </row>
    <row r="6" customFormat="false" ht="21.75" hidden="false" customHeight="true" outlineLevel="0" collapsed="false">
      <c r="A6" s="3" t="s">
        <v>40</v>
      </c>
      <c r="B6" s="4" t="s">
        <v>15</v>
      </c>
      <c r="C6" s="3" t="s">
        <v>41</v>
      </c>
      <c r="D6" s="4" t="s">
        <v>41</v>
      </c>
      <c r="E6" s="4" t="s">
        <v>42</v>
      </c>
      <c r="F6" s="4"/>
      <c r="G6" s="4" t="s">
        <v>18</v>
      </c>
      <c r="H6" s="4" t="s">
        <v>43</v>
      </c>
      <c r="I6" s="5"/>
      <c r="J6" s="4"/>
      <c r="K6" s="4" t="s">
        <v>44</v>
      </c>
      <c r="L6" s="4" t="s">
        <v>45</v>
      </c>
      <c r="M6" s="4" t="s">
        <v>22</v>
      </c>
      <c r="N6" s="4" t="s">
        <v>23</v>
      </c>
    </row>
    <row r="7" customFormat="false" ht="15" hidden="false" customHeight="true" outlineLevel="0" collapsed="false">
      <c r="A7" s="3" t="s">
        <v>46</v>
      </c>
      <c r="B7" s="4" t="s">
        <v>15</v>
      </c>
      <c r="C7" s="3" t="s">
        <v>47</v>
      </c>
      <c r="D7" s="4" t="s">
        <v>47</v>
      </c>
      <c r="E7" s="4" t="s">
        <v>48</v>
      </c>
      <c r="F7" s="4"/>
      <c r="G7" s="4" t="s">
        <v>18</v>
      </c>
      <c r="H7" s="4" t="s">
        <v>43</v>
      </c>
      <c r="I7" s="5"/>
      <c r="J7" s="4"/>
      <c r="K7" s="4" t="s">
        <v>49</v>
      </c>
      <c r="L7" s="4" t="s">
        <v>50</v>
      </c>
      <c r="M7" s="4" t="s">
        <v>22</v>
      </c>
      <c r="N7" s="4" t="s">
        <v>23</v>
      </c>
    </row>
    <row r="8" customFormat="false" ht="21.75" hidden="false" customHeight="true" outlineLevel="0" collapsed="false">
      <c r="A8" s="3" t="s">
        <v>51</v>
      </c>
      <c r="B8" s="4" t="s">
        <v>15</v>
      </c>
      <c r="C8" s="3" t="s">
        <v>52</v>
      </c>
      <c r="D8" s="4" t="s">
        <v>52</v>
      </c>
      <c r="E8" s="4" t="s">
        <v>53</v>
      </c>
      <c r="F8" s="4"/>
      <c r="G8" s="4" t="s">
        <v>18</v>
      </c>
      <c r="H8" s="4" t="s">
        <v>54</v>
      </c>
      <c r="I8" s="5"/>
      <c r="J8" s="4"/>
      <c r="K8" s="4" t="s">
        <v>55</v>
      </c>
      <c r="L8" s="4" t="s">
        <v>56</v>
      </c>
      <c r="M8" s="4" t="s">
        <v>22</v>
      </c>
      <c r="N8" s="4" t="s">
        <v>23</v>
      </c>
    </row>
    <row r="9" customFormat="false" ht="21.75" hidden="false" customHeight="true" outlineLevel="0" collapsed="false">
      <c r="A9" s="3" t="s">
        <v>57</v>
      </c>
      <c r="B9" s="4" t="s">
        <v>15</v>
      </c>
      <c r="C9" s="3" t="s">
        <v>58</v>
      </c>
      <c r="D9" s="4" t="s">
        <v>58</v>
      </c>
      <c r="E9" s="4" t="s">
        <v>59</v>
      </c>
      <c r="F9" s="4"/>
      <c r="G9" s="4" t="s">
        <v>18</v>
      </c>
      <c r="H9" s="4" t="s">
        <v>54</v>
      </c>
      <c r="I9" s="5"/>
      <c r="J9" s="4"/>
      <c r="K9" s="4" t="s">
        <v>60</v>
      </c>
      <c r="L9" s="4" t="s">
        <v>61</v>
      </c>
      <c r="M9" s="4" t="s">
        <v>22</v>
      </c>
      <c r="N9" s="4" t="s">
        <v>23</v>
      </c>
    </row>
    <row r="10" customFormat="false" ht="15" hidden="false" customHeight="true" outlineLevel="0" collapsed="false">
      <c r="A10" s="3" t="s">
        <v>62</v>
      </c>
      <c r="B10" s="4" t="s">
        <v>15</v>
      </c>
      <c r="C10" s="3" t="s">
        <v>63</v>
      </c>
      <c r="D10" s="4" t="s">
        <v>63</v>
      </c>
      <c r="E10" s="4" t="s">
        <v>64</v>
      </c>
      <c r="F10" s="4"/>
      <c r="G10" s="4" t="s">
        <v>18</v>
      </c>
      <c r="H10" s="4" t="s">
        <v>65</v>
      </c>
      <c r="I10" s="5"/>
      <c r="J10" s="4"/>
      <c r="K10" s="4" t="s">
        <v>66</v>
      </c>
      <c r="L10" s="4" t="s">
        <v>67</v>
      </c>
      <c r="M10" s="4" t="s">
        <v>22</v>
      </c>
      <c r="N10" s="4" t="s">
        <v>23</v>
      </c>
    </row>
    <row r="11" customFormat="false" ht="21.75" hidden="false" customHeight="true" outlineLevel="0" collapsed="false">
      <c r="A11" s="3" t="s">
        <v>68</v>
      </c>
      <c r="B11" s="4" t="s">
        <v>15</v>
      </c>
      <c r="C11" s="3" t="s">
        <v>69</v>
      </c>
      <c r="D11" s="4" t="s">
        <v>69</v>
      </c>
      <c r="E11" s="4" t="s">
        <v>70</v>
      </c>
      <c r="F11" s="4"/>
      <c r="G11" s="4" t="s">
        <v>71</v>
      </c>
      <c r="H11" s="4" t="s">
        <v>72</v>
      </c>
      <c r="I11" s="5"/>
      <c r="J11" s="4"/>
      <c r="K11" s="4" t="s">
        <v>73</v>
      </c>
      <c r="L11" s="4" t="s">
        <v>74</v>
      </c>
      <c r="M11" s="4" t="s">
        <v>22</v>
      </c>
      <c r="N11" s="4" t="s">
        <v>23</v>
      </c>
    </row>
    <row r="12" customFormat="false" ht="21.75" hidden="false" customHeight="true" outlineLevel="0" collapsed="false">
      <c r="A12" s="6" t="s">
        <v>75</v>
      </c>
      <c r="B12" s="6" t="s">
        <v>76</v>
      </c>
      <c r="C12" s="6" t="s">
        <v>77</v>
      </c>
      <c r="D12" s="6"/>
      <c r="E12" s="6" t="s">
        <v>78</v>
      </c>
      <c r="F12" s="6" t="s">
        <v>68</v>
      </c>
      <c r="G12" s="6" t="s">
        <v>79</v>
      </c>
      <c r="H12" s="6" t="s">
        <v>19</v>
      </c>
      <c r="I12" s="7" t="n">
        <v>3</v>
      </c>
      <c r="J12" s="6" t="s">
        <v>80</v>
      </c>
      <c r="K12" s="6" t="s">
        <v>81</v>
      </c>
      <c r="L12" s="6" t="s">
        <v>82</v>
      </c>
      <c r="M12" s="6" t="s">
        <v>83</v>
      </c>
      <c r="N12" s="6" t="s">
        <v>23</v>
      </c>
    </row>
    <row r="13" customFormat="false" ht="21.75" hidden="false" customHeight="true" outlineLevel="0" collapsed="false">
      <c r="A13" s="6" t="s">
        <v>84</v>
      </c>
      <c r="B13" s="6" t="s">
        <v>76</v>
      </c>
      <c r="C13" s="6" t="s">
        <v>85</v>
      </c>
      <c r="D13" s="6"/>
      <c r="E13" s="6" t="s">
        <v>86</v>
      </c>
      <c r="F13" s="6" t="s">
        <v>68</v>
      </c>
      <c r="G13" s="6" t="s">
        <v>79</v>
      </c>
      <c r="H13" s="6" t="s">
        <v>32</v>
      </c>
      <c r="I13" s="7" t="n">
        <v>5</v>
      </c>
      <c r="J13" s="6" t="s">
        <v>80</v>
      </c>
      <c r="K13" s="6" t="s">
        <v>87</v>
      </c>
      <c r="L13" s="6" t="s">
        <v>82</v>
      </c>
      <c r="M13" s="6" t="s">
        <v>88</v>
      </c>
      <c r="N13" s="6" t="s">
        <v>23</v>
      </c>
    </row>
    <row r="14" customFormat="false" ht="32.25" hidden="false" customHeight="true" outlineLevel="0" collapsed="false">
      <c r="A14" s="6" t="s">
        <v>89</v>
      </c>
      <c r="B14" s="6" t="s">
        <v>90</v>
      </c>
      <c r="C14" s="6" t="s">
        <v>91</v>
      </c>
      <c r="D14" s="6"/>
      <c r="E14" s="6" t="s">
        <v>92</v>
      </c>
      <c r="F14" s="6" t="s">
        <v>14</v>
      </c>
      <c r="G14" s="6" t="s">
        <v>79</v>
      </c>
      <c r="H14" s="6" t="s">
        <v>19</v>
      </c>
      <c r="I14" s="7" t="n">
        <v>3</v>
      </c>
      <c r="J14" s="6" t="s">
        <v>80</v>
      </c>
      <c r="K14" s="6" t="s">
        <v>93</v>
      </c>
      <c r="L14" s="6" t="s">
        <v>94</v>
      </c>
      <c r="M14" s="6" t="s">
        <v>95</v>
      </c>
      <c r="N14" s="6" t="s">
        <v>23</v>
      </c>
    </row>
    <row r="15" customFormat="false" ht="32.25" hidden="false" customHeight="true" outlineLevel="0" collapsed="false">
      <c r="A15" s="6" t="s">
        <v>96</v>
      </c>
      <c r="B15" s="6" t="s">
        <v>90</v>
      </c>
      <c r="C15" s="6" t="s">
        <v>97</v>
      </c>
      <c r="D15" s="6"/>
      <c r="E15" s="6" t="s">
        <v>98</v>
      </c>
      <c r="F15" s="6" t="s">
        <v>29</v>
      </c>
      <c r="G15" s="6" t="s">
        <v>79</v>
      </c>
      <c r="H15" s="6" t="s">
        <v>32</v>
      </c>
      <c r="I15" s="7" t="n">
        <v>5</v>
      </c>
      <c r="J15" s="6" t="s">
        <v>80</v>
      </c>
      <c r="K15" s="6" t="s">
        <v>99</v>
      </c>
      <c r="L15" s="6" t="s">
        <v>100</v>
      </c>
      <c r="M15" s="6" t="s">
        <v>101</v>
      </c>
      <c r="N15" s="6" t="s">
        <v>23</v>
      </c>
    </row>
    <row r="16" customFormat="false" ht="21.75" hidden="false" customHeight="true" outlineLevel="0" collapsed="false">
      <c r="A16" s="6" t="s">
        <v>102</v>
      </c>
      <c r="B16" s="6" t="s">
        <v>90</v>
      </c>
      <c r="C16" s="6" t="s">
        <v>103</v>
      </c>
      <c r="D16" s="6"/>
      <c r="E16" s="6" t="s">
        <v>104</v>
      </c>
      <c r="F16" s="6" t="s">
        <v>14</v>
      </c>
      <c r="G16" s="6" t="s">
        <v>79</v>
      </c>
      <c r="H16" s="6" t="s">
        <v>19</v>
      </c>
      <c r="I16" s="7" t="n">
        <v>3</v>
      </c>
      <c r="J16" s="6" t="s">
        <v>80</v>
      </c>
      <c r="K16" s="6" t="s">
        <v>105</v>
      </c>
      <c r="L16" s="6" t="s">
        <v>106</v>
      </c>
      <c r="M16" s="6" t="s">
        <v>107</v>
      </c>
      <c r="N16" s="6" t="s">
        <v>23</v>
      </c>
    </row>
    <row r="17" customFormat="false" ht="21.75" hidden="false" customHeight="true" outlineLevel="0" collapsed="false">
      <c r="A17" s="6" t="s">
        <v>108</v>
      </c>
      <c r="B17" s="6" t="s">
        <v>90</v>
      </c>
      <c r="C17" s="6" t="s">
        <v>109</v>
      </c>
      <c r="D17" s="6"/>
      <c r="E17" s="6" t="s">
        <v>110</v>
      </c>
      <c r="F17" s="6" t="s">
        <v>57</v>
      </c>
      <c r="G17" s="6" t="s">
        <v>18</v>
      </c>
      <c r="H17" s="6" t="s">
        <v>54</v>
      </c>
      <c r="I17" s="7" t="n">
        <v>3</v>
      </c>
      <c r="J17" s="6" t="s">
        <v>80</v>
      </c>
      <c r="K17" s="6" t="s">
        <v>111</v>
      </c>
      <c r="L17" s="6" t="s">
        <v>112</v>
      </c>
      <c r="M17" s="6" t="s">
        <v>113</v>
      </c>
      <c r="N17" s="6" t="s">
        <v>23</v>
      </c>
    </row>
    <row r="18" customFormat="false" ht="21.75" hidden="false" customHeight="true" outlineLevel="0" collapsed="false">
      <c r="A18" s="6" t="s">
        <v>114</v>
      </c>
      <c r="B18" s="6" t="s">
        <v>90</v>
      </c>
      <c r="C18" s="6" t="s">
        <v>115</v>
      </c>
      <c r="D18" s="6"/>
      <c r="E18" s="6" t="s">
        <v>116</v>
      </c>
      <c r="F18" s="6" t="s">
        <v>46</v>
      </c>
      <c r="G18" s="6" t="s">
        <v>18</v>
      </c>
      <c r="H18" s="6" t="s">
        <v>43</v>
      </c>
      <c r="I18" s="7" t="n">
        <v>2</v>
      </c>
      <c r="J18" s="6" t="s">
        <v>80</v>
      </c>
      <c r="K18" s="6" t="s">
        <v>117</v>
      </c>
      <c r="L18" s="6" t="s">
        <v>118</v>
      </c>
      <c r="M18" s="6" t="s">
        <v>119</v>
      </c>
      <c r="N18" s="6" t="s">
        <v>23</v>
      </c>
    </row>
    <row r="19" customFormat="false" ht="21.75" hidden="false" customHeight="true" outlineLevel="0" collapsed="false">
      <c r="A19" s="6" t="s">
        <v>120</v>
      </c>
      <c r="B19" s="6" t="s">
        <v>76</v>
      </c>
      <c r="C19" s="6" t="s">
        <v>121</v>
      </c>
      <c r="D19" s="6"/>
      <c r="E19" s="6" t="s">
        <v>122</v>
      </c>
      <c r="F19" s="6" t="s">
        <v>68</v>
      </c>
      <c r="G19" s="6" t="s">
        <v>18</v>
      </c>
      <c r="H19" s="6" t="s">
        <v>43</v>
      </c>
      <c r="I19" s="7" t="n">
        <v>3</v>
      </c>
      <c r="J19" s="6" t="s">
        <v>80</v>
      </c>
      <c r="K19" s="6" t="s">
        <v>123</v>
      </c>
      <c r="L19" s="6" t="s">
        <v>82</v>
      </c>
      <c r="M19" s="6" t="s">
        <v>124</v>
      </c>
      <c r="N19" s="6" t="s">
        <v>23</v>
      </c>
    </row>
    <row r="20" customFormat="false" ht="21.75" hidden="false" customHeight="true" outlineLevel="0" collapsed="false">
      <c r="A20" s="6" t="s">
        <v>125</v>
      </c>
      <c r="B20" s="6" t="s">
        <v>90</v>
      </c>
      <c r="C20" s="6" t="s">
        <v>126</v>
      </c>
      <c r="D20" s="6"/>
      <c r="E20" s="6" t="s">
        <v>127</v>
      </c>
      <c r="F20" s="6" t="s">
        <v>62</v>
      </c>
      <c r="G20" s="6" t="s">
        <v>18</v>
      </c>
      <c r="H20" s="6" t="s">
        <v>54</v>
      </c>
      <c r="I20" s="7" t="n">
        <v>3</v>
      </c>
      <c r="J20" s="6" t="s">
        <v>80</v>
      </c>
      <c r="K20" s="6" t="s">
        <v>128</v>
      </c>
      <c r="L20" s="6" t="s">
        <v>129</v>
      </c>
      <c r="M20" s="6" t="s">
        <v>130</v>
      </c>
      <c r="N20" s="6" t="s">
        <v>23</v>
      </c>
    </row>
    <row r="21" customFormat="false" ht="21.75" hidden="false" customHeight="true" outlineLevel="0" collapsed="false">
      <c r="A21" s="6" t="s">
        <v>131</v>
      </c>
      <c r="B21" s="6" t="s">
        <v>90</v>
      </c>
      <c r="C21" s="6" t="s">
        <v>132</v>
      </c>
      <c r="D21" s="6"/>
      <c r="E21" s="6" t="s">
        <v>133</v>
      </c>
      <c r="F21" s="6" t="s">
        <v>24</v>
      </c>
      <c r="G21" s="6" t="s">
        <v>18</v>
      </c>
      <c r="H21" s="6" t="s">
        <v>19</v>
      </c>
      <c r="I21" s="7" t="n">
        <v>2</v>
      </c>
      <c r="J21" s="6" t="s">
        <v>134</v>
      </c>
      <c r="K21" s="6" t="s">
        <v>135</v>
      </c>
      <c r="L21" s="6" t="s">
        <v>136</v>
      </c>
      <c r="M21" s="6" t="s">
        <v>137</v>
      </c>
      <c r="N21" s="6" t="s">
        <v>23</v>
      </c>
    </row>
    <row r="22" customFormat="false" ht="21.75" hidden="false" customHeight="true" outlineLevel="0" collapsed="false">
      <c r="A22" s="6" t="s">
        <v>138</v>
      </c>
      <c r="B22" s="6" t="s">
        <v>90</v>
      </c>
      <c r="C22" s="6" t="s">
        <v>139</v>
      </c>
      <c r="D22" s="6"/>
      <c r="E22" s="6" t="s">
        <v>140</v>
      </c>
      <c r="F22" s="6" t="s">
        <v>24</v>
      </c>
      <c r="G22" s="6" t="s">
        <v>79</v>
      </c>
      <c r="H22" s="6" t="s">
        <v>19</v>
      </c>
      <c r="I22" s="7" t="n">
        <v>5</v>
      </c>
      <c r="J22" s="6" t="s">
        <v>134</v>
      </c>
      <c r="K22" s="6" t="s">
        <v>135</v>
      </c>
      <c r="L22" s="6" t="s">
        <v>141</v>
      </c>
      <c r="M22" s="6" t="s">
        <v>142</v>
      </c>
      <c r="N22" s="6" t="s">
        <v>23</v>
      </c>
    </row>
    <row r="23" customFormat="false" ht="21.75" hidden="false" customHeight="true" outlineLevel="0" collapsed="false">
      <c r="A23" s="6" t="s">
        <v>143</v>
      </c>
      <c r="B23" s="6" t="s">
        <v>90</v>
      </c>
      <c r="C23" s="6" t="s">
        <v>144</v>
      </c>
      <c r="D23" s="6"/>
      <c r="E23" s="6" t="s">
        <v>145</v>
      </c>
      <c r="F23" s="6" t="s">
        <v>24</v>
      </c>
      <c r="G23" s="6" t="s">
        <v>18</v>
      </c>
      <c r="H23" s="6" t="s">
        <v>19</v>
      </c>
      <c r="I23" s="7" t="n">
        <v>3</v>
      </c>
      <c r="J23" s="6" t="s">
        <v>134</v>
      </c>
      <c r="K23" s="6" t="s">
        <v>135</v>
      </c>
      <c r="L23" s="6" t="s">
        <v>146</v>
      </c>
      <c r="M23" s="6" t="s">
        <v>147</v>
      </c>
      <c r="N23" s="6" t="s">
        <v>23</v>
      </c>
    </row>
    <row r="24" customFormat="false" ht="21.75" hidden="false" customHeight="true" outlineLevel="0" collapsed="false">
      <c r="A24" s="6" t="s">
        <v>148</v>
      </c>
      <c r="B24" s="6" t="s">
        <v>90</v>
      </c>
      <c r="C24" s="6" t="s">
        <v>149</v>
      </c>
      <c r="D24" s="6"/>
      <c r="E24" s="6" t="s">
        <v>150</v>
      </c>
      <c r="F24" s="6" t="s">
        <v>24</v>
      </c>
      <c r="G24" s="6" t="s">
        <v>79</v>
      </c>
      <c r="H24" s="6" t="s">
        <v>19</v>
      </c>
      <c r="I24" s="7" t="n">
        <v>5</v>
      </c>
      <c r="J24" s="6" t="s">
        <v>134</v>
      </c>
      <c r="K24" s="6" t="s">
        <v>135</v>
      </c>
      <c r="L24" s="6" t="s">
        <v>151</v>
      </c>
      <c r="M24" s="6" t="s">
        <v>152</v>
      </c>
      <c r="N24" s="6" t="s">
        <v>23</v>
      </c>
    </row>
    <row r="25" customFormat="false" ht="21.75" hidden="false" customHeight="true" outlineLevel="0" collapsed="false">
      <c r="A25" s="6" t="s">
        <v>153</v>
      </c>
      <c r="B25" s="6" t="s">
        <v>90</v>
      </c>
      <c r="C25" s="6" t="s">
        <v>154</v>
      </c>
      <c r="D25" s="6"/>
      <c r="E25" s="6" t="s">
        <v>155</v>
      </c>
      <c r="F25" s="6" t="s">
        <v>24</v>
      </c>
      <c r="G25" s="6" t="s">
        <v>18</v>
      </c>
      <c r="H25" s="6" t="s">
        <v>19</v>
      </c>
      <c r="I25" s="7" t="n">
        <v>3</v>
      </c>
      <c r="J25" s="6" t="s">
        <v>134</v>
      </c>
      <c r="K25" s="6" t="s">
        <v>135</v>
      </c>
      <c r="L25" s="6" t="s">
        <v>156</v>
      </c>
      <c r="M25" s="6" t="s">
        <v>157</v>
      </c>
      <c r="N25" s="6" t="s">
        <v>23</v>
      </c>
    </row>
    <row r="26" customFormat="false" ht="21.75" hidden="false" customHeight="true" outlineLevel="0" collapsed="false">
      <c r="A26" s="6" t="s">
        <v>158</v>
      </c>
      <c r="B26" s="6" t="s">
        <v>90</v>
      </c>
      <c r="C26" s="6" t="s">
        <v>159</v>
      </c>
      <c r="D26" s="6"/>
      <c r="E26" s="6" t="s">
        <v>160</v>
      </c>
      <c r="F26" s="6" t="s">
        <v>40</v>
      </c>
      <c r="G26" s="6" t="s">
        <v>71</v>
      </c>
      <c r="H26" s="6" t="s">
        <v>43</v>
      </c>
      <c r="I26" s="7" t="n">
        <v>3</v>
      </c>
      <c r="J26" s="6" t="s">
        <v>134</v>
      </c>
      <c r="K26" s="6" t="s">
        <v>161</v>
      </c>
      <c r="L26" s="6" t="s">
        <v>162</v>
      </c>
      <c r="M26" s="6" t="s">
        <v>163</v>
      </c>
      <c r="N26" s="6" t="s">
        <v>23</v>
      </c>
    </row>
    <row r="27" customFormat="false" ht="21.75" hidden="false" customHeight="true" outlineLevel="0" collapsed="false">
      <c r="A27" s="6" t="s">
        <v>164</v>
      </c>
      <c r="B27" s="6" t="s">
        <v>90</v>
      </c>
      <c r="C27" s="6" t="s">
        <v>165</v>
      </c>
      <c r="D27" s="6"/>
      <c r="E27" s="6" t="s">
        <v>166</v>
      </c>
      <c r="F27" s="6" t="s">
        <v>40</v>
      </c>
      <c r="G27" s="6" t="s">
        <v>71</v>
      </c>
      <c r="H27" s="6" t="s">
        <v>54</v>
      </c>
      <c r="I27" s="7" t="n">
        <v>5</v>
      </c>
      <c r="J27" s="6" t="s">
        <v>134</v>
      </c>
      <c r="K27" s="6" t="s">
        <v>161</v>
      </c>
      <c r="L27" s="6" t="s">
        <v>162</v>
      </c>
      <c r="M27" s="6" t="s">
        <v>167</v>
      </c>
      <c r="N27" s="6" t="s">
        <v>23</v>
      </c>
    </row>
    <row r="28" customFormat="false" ht="21.75" hidden="false" customHeight="true" outlineLevel="0" collapsed="false">
      <c r="A28" s="6" t="s">
        <v>168</v>
      </c>
      <c r="B28" s="6" t="s">
        <v>90</v>
      </c>
      <c r="C28" s="6" t="s">
        <v>169</v>
      </c>
      <c r="D28" s="6"/>
      <c r="E28" s="6" t="s">
        <v>170</v>
      </c>
      <c r="F28" s="6" t="s">
        <v>14</v>
      </c>
      <c r="G28" s="6" t="s">
        <v>79</v>
      </c>
      <c r="H28" s="6" t="s">
        <v>19</v>
      </c>
      <c r="I28" s="7" t="n">
        <v>5</v>
      </c>
      <c r="J28" s="6" t="s">
        <v>134</v>
      </c>
      <c r="K28" s="6" t="s">
        <v>171</v>
      </c>
      <c r="L28" s="6" t="s">
        <v>172</v>
      </c>
      <c r="M28" s="6" t="s">
        <v>173</v>
      </c>
      <c r="N28" s="6" t="s">
        <v>23</v>
      </c>
    </row>
    <row r="29" customFormat="false" ht="21.75" hidden="false" customHeight="true" outlineLevel="0" collapsed="false">
      <c r="A29" s="6" t="s">
        <v>174</v>
      </c>
      <c r="B29" s="6" t="s">
        <v>90</v>
      </c>
      <c r="C29" s="6" t="s">
        <v>175</v>
      </c>
      <c r="D29" s="6"/>
      <c r="E29" s="6" t="s">
        <v>176</v>
      </c>
      <c r="F29" s="6" t="s">
        <v>14</v>
      </c>
      <c r="G29" s="6" t="s">
        <v>18</v>
      </c>
      <c r="H29" s="6" t="s">
        <v>19</v>
      </c>
      <c r="I29" s="7" t="n">
        <v>5</v>
      </c>
      <c r="J29" s="6" t="s">
        <v>134</v>
      </c>
      <c r="K29" s="6" t="s">
        <v>171</v>
      </c>
      <c r="L29" s="6" t="s">
        <v>177</v>
      </c>
      <c r="M29" s="6" t="s">
        <v>178</v>
      </c>
      <c r="N29" s="6" t="s">
        <v>23</v>
      </c>
    </row>
    <row r="30" customFormat="false" ht="21.75" hidden="false" customHeight="true" outlineLevel="0" collapsed="false">
      <c r="A30" s="6" t="s">
        <v>179</v>
      </c>
      <c r="B30" s="6" t="s">
        <v>90</v>
      </c>
      <c r="C30" s="6" t="s">
        <v>180</v>
      </c>
      <c r="D30" s="6"/>
      <c r="E30" s="6" t="s">
        <v>181</v>
      </c>
      <c r="F30" s="6" t="s">
        <v>14</v>
      </c>
      <c r="G30" s="6" t="s">
        <v>18</v>
      </c>
      <c r="H30" s="6" t="s">
        <v>19</v>
      </c>
      <c r="I30" s="7" t="n">
        <v>2</v>
      </c>
      <c r="J30" s="6" t="s">
        <v>134</v>
      </c>
      <c r="K30" s="6" t="s">
        <v>171</v>
      </c>
      <c r="L30" s="6" t="s">
        <v>182</v>
      </c>
      <c r="M30" s="6" t="s">
        <v>183</v>
      </c>
      <c r="N30" s="6" t="s">
        <v>23</v>
      </c>
    </row>
    <row r="31" customFormat="false" ht="21.75" hidden="false" customHeight="true" outlineLevel="0" collapsed="false">
      <c r="A31" s="6" t="s">
        <v>184</v>
      </c>
      <c r="B31" s="6" t="s">
        <v>90</v>
      </c>
      <c r="C31" s="6" t="s">
        <v>185</v>
      </c>
      <c r="D31" s="6"/>
      <c r="E31" s="6" t="s">
        <v>186</v>
      </c>
      <c r="F31" s="6" t="s">
        <v>35</v>
      </c>
      <c r="G31" s="6" t="s">
        <v>79</v>
      </c>
      <c r="H31" s="6" t="s">
        <v>32</v>
      </c>
      <c r="I31" s="7" t="n">
        <v>3</v>
      </c>
      <c r="J31" s="6" t="s">
        <v>134</v>
      </c>
      <c r="K31" s="6" t="s">
        <v>187</v>
      </c>
      <c r="L31" s="6" t="s">
        <v>188</v>
      </c>
      <c r="M31" s="6" t="s">
        <v>189</v>
      </c>
      <c r="N31" s="6" t="s">
        <v>23</v>
      </c>
    </row>
    <row r="32" customFormat="false" ht="21.75" hidden="false" customHeight="true" outlineLevel="0" collapsed="false">
      <c r="A32" s="6" t="s">
        <v>190</v>
      </c>
      <c r="B32" s="6" t="s">
        <v>90</v>
      </c>
      <c r="C32" s="6" t="s">
        <v>191</v>
      </c>
      <c r="D32" s="6"/>
      <c r="E32" s="6" t="s">
        <v>192</v>
      </c>
      <c r="F32" s="6" t="s">
        <v>29</v>
      </c>
      <c r="G32" s="6" t="s">
        <v>79</v>
      </c>
      <c r="H32" s="6" t="s">
        <v>32</v>
      </c>
      <c r="I32" s="7" t="n">
        <v>5</v>
      </c>
      <c r="J32" s="6" t="s">
        <v>134</v>
      </c>
      <c r="K32" s="6" t="s">
        <v>193</v>
      </c>
      <c r="L32" s="6" t="s">
        <v>194</v>
      </c>
      <c r="M32" s="6" t="s">
        <v>195</v>
      </c>
      <c r="N32" s="6" t="s">
        <v>23</v>
      </c>
    </row>
    <row r="33" customFormat="false" ht="21.75" hidden="false" customHeight="true" outlineLevel="0" collapsed="false">
      <c r="A33" s="6" t="s">
        <v>196</v>
      </c>
      <c r="B33" s="6" t="s">
        <v>90</v>
      </c>
      <c r="C33" s="6" t="s">
        <v>197</v>
      </c>
      <c r="D33" s="6"/>
      <c r="E33" s="6" t="s">
        <v>198</v>
      </c>
      <c r="F33" s="6" t="s">
        <v>29</v>
      </c>
      <c r="G33" s="6" t="s">
        <v>79</v>
      </c>
      <c r="H33" s="6" t="s">
        <v>32</v>
      </c>
      <c r="I33" s="7" t="n">
        <v>5</v>
      </c>
      <c r="J33" s="6" t="s">
        <v>134</v>
      </c>
      <c r="K33" s="6" t="s">
        <v>193</v>
      </c>
      <c r="L33" s="6" t="s">
        <v>199</v>
      </c>
      <c r="M33" s="6" t="s">
        <v>200</v>
      </c>
      <c r="N33" s="6" t="s">
        <v>23</v>
      </c>
    </row>
    <row r="34" customFormat="false" ht="21.75" hidden="false" customHeight="true" outlineLevel="0" collapsed="false">
      <c r="A34" s="6" t="s">
        <v>201</v>
      </c>
      <c r="B34" s="6" t="s">
        <v>90</v>
      </c>
      <c r="C34" s="6" t="s">
        <v>202</v>
      </c>
      <c r="D34" s="6"/>
      <c r="E34" s="6" t="s">
        <v>203</v>
      </c>
      <c r="F34" s="6" t="s">
        <v>57</v>
      </c>
      <c r="G34" s="6" t="s">
        <v>18</v>
      </c>
      <c r="H34" s="6" t="s">
        <v>54</v>
      </c>
      <c r="I34" s="7" t="n">
        <v>3</v>
      </c>
      <c r="J34" s="6" t="s">
        <v>134</v>
      </c>
      <c r="K34" s="6" t="s">
        <v>111</v>
      </c>
      <c r="L34" s="6" t="s">
        <v>204</v>
      </c>
      <c r="M34" s="6" t="s">
        <v>205</v>
      </c>
      <c r="N34" s="6" t="s">
        <v>23</v>
      </c>
    </row>
    <row r="35" customFormat="false" ht="21.75" hidden="false" customHeight="true" outlineLevel="0" collapsed="false">
      <c r="A35" s="6" t="s">
        <v>206</v>
      </c>
      <c r="B35" s="6" t="s">
        <v>90</v>
      </c>
      <c r="C35" s="6" t="s">
        <v>207</v>
      </c>
      <c r="D35" s="6"/>
      <c r="E35" s="6" t="s">
        <v>208</v>
      </c>
      <c r="F35" s="6" t="s">
        <v>29</v>
      </c>
      <c r="G35" s="6" t="s">
        <v>18</v>
      </c>
      <c r="H35" s="6" t="s">
        <v>32</v>
      </c>
      <c r="I35" s="7" t="n">
        <v>3</v>
      </c>
      <c r="J35" s="6" t="s">
        <v>209</v>
      </c>
      <c r="K35" s="6" t="s">
        <v>193</v>
      </c>
      <c r="L35" s="6" t="s">
        <v>210</v>
      </c>
      <c r="M35" s="6" t="s">
        <v>211</v>
      </c>
      <c r="N35" s="6" t="s">
        <v>23</v>
      </c>
    </row>
    <row r="36" customFormat="false" ht="15" hidden="false" customHeight="true" outlineLevel="0" collapsed="false">
      <c r="A36" s="6" t="s">
        <v>212</v>
      </c>
      <c r="B36" s="6" t="s">
        <v>90</v>
      </c>
      <c r="C36" s="6" t="s">
        <v>213</v>
      </c>
      <c r="D36" s="6"/>
      <c r="E36" s="6" t="s">
        <v>214</v>
      </c>
      <c r="F36" s="6" t="s">
        <v>29</v>
      </c>
      <c r="G36" s="6" t="s">
        <v>71</v>
      </c>
      <c r="H36" s="6" t="s">
        <v>32</v>
      </c>
      <c r="I36" s="7" t="n">
        <v>2</v>
      </c>
      <c r="J36" s="6" t="s">
        <v>209</v>
      </c>
      <c r="K36" s="6" t="s">
        <v>193</v>
      </c>
      <c r="L36" s="6" t="s">
        <v>215</v>
      </c>
      <c r="M36" s="6" t="s">
        <v>216</v>
      </c>
      <c r="N36" s="6" t="s">
        <v>23</v>
      </c>
    </row>
    <row r="37" customFormat="false" ht="21.75" hidden="false" customHeight="true" outlineLevel="0" collapsed="false">
      <c r="A37" s="6" t="s">
        <v>217</v>
      </c>
      <c r="B37" s="6" t="s">
        <v>90</v>
      </c>
      <c r="C37" s="6" t="s">
        <v>218</v>
      </c>
      <c r="D37" s="6"/>
      <c r="E37" s="6" t="s">
        <v>219</v>
      </c>
      <c r="F37" s="6" t="s">
        <v>29</v>
      </c>
      <c r="G37" s="6" t="s">
        <v>79</v>
      </c>
      <c r="H37" s="6" t="s">
        <v>32</v>
      </c>
      <c r="I37" s="7" t="n">
        <v>5</v>
      </c>
      <c r="J37" s="6" t="s">
        <v>209</v>
      </c>
      <c r="K37" s="6" t="s">
        <v>220</v>
      </c>
      <c r="L37" s="6" t="s">
        <v>221</v>
      </c>
      <c r="M37" s="6" t="s">
        <v>222</v>
      </c>
      <c r="N37" s="6" t="s">
        <v>23</v>
      </c>
    </row>
    <row r="38" customFormat="false" ht="21.75" hidden="false" customHeight="true" outlineLevel="0" collapsed="false">
      <c r="A38" s="6" t="s">
        <v>223</v>
      </c>
      <c r="B38" s="6" t="s">
        <v>90</v>
      </c>
      <c r="C38" s="6" t="s">
        <v>224</v>
      </c>
      <c r="D38" s="6"/>
      <c r="E38" s="6" t="s">
        <v>225</v>
      </c>
      <c r="F38" s="6" t="s">
        <v>35</v>
      </c>
      <c r="G38" s="6" t="s">
        <v>79</v>
      </c>
      <c r="H38" s="6" t="s">
        <v>32</v>
      </c>
      <c r="I38" s="7" t="n">
        <v>5</v>
      </c>
      <c r="J38" s="6" t="s">
        <v>209</v>
      </c>
      <c r="K38" s="6" t="s">
        <v>226</v>
      </c>
      <c r="L38" s="6" t="s">
        <v>227</v>
      </c>
      <c r="M38" s="6" t="s">
        <v>228</v>
      </c>
      <c r="N38" s="6" t="s">
        <v>23</v>
      </c>
    </row>
    <row r="39" customFormat="false" ht="21.75" hidden="false" customHeight="true" outlineLevel="0" collapsed="false">
      <c r="A39" s="6" t="s">
        <v>229</v>
      </c>
      <c r="B39" s="6" t="s">
        <v>90</v>
      </c>
      <c r="C39" s="6" t="s">
        <v>230</v>
      </c>
      <c r="D39" s="6"/>
      <c r="E39" s="6" t="s">
        <v>231</v>
      </c>
      <c r="F39" s="6" t="s">
        <v>35</v>
      </c>
      <c r="G39" s="6" t="s">
        <v>18</v>
      </c>
      <c r="H39" s="6" t="s">
        <v>32</v>
      </c>
      <c r="I39" s="7" t="n">
        <v>3</v>
      </c>
      <c r="J39" s="6" t="s">
        <v>209</v>
      </c>
      <c r="K39" s="6" t="s">
        <v>226</v>
      </c>
      <c r="L39" s="6" t="s">
        <v>232</v>
      </c>
      <c r="M39" s="6" t="s">
        <v>233</v>
      </c>
      <c r="N39" s="6" t="s">
        <v>23</v>
      </c>
    </row>
    <row r="40" customFormat="false" ht="21.75" hidden="false" customHeight="true" outlineLevel="0" collapsed="false">
      <c r="A40" s="6" t="s">
        <v>234</v>
      </c>
      <c r="B40" s="6" t="s">
        <v>90</v>
      </c>
      <c r="C40" s="6" t="s">
        <v>235</v>
      </c>
      <c r="D40" s="6"/>
      <c r="E40" s="6" t="s">
        <v>236</v>
      </c>
      <c r="F40" s="6" t="s">
        <v>40</v>
      </c>
      <c r="G40" s="6" t="s">
        <v>18</v>
      </c>
      <c r="H40" s="6" t="s">
        <v>43</v>
      </c>
      <c r="I40" s="7" t="n">
        <v>5</v>
      </c>
      <c r="J40" s="6" t="s">
        <v>209</v>
      </c>
      <c r="K40" s="6" t="s">
        <v>237</v>
      </c>
      <c r="L40" s="6" t="s">
        <v>238</v>
      </c>
      <c r="M40" s="6" t="s">
        <v>239</v>
      </c>
      <c r="N40" s="6" t="s">
        <v>23</v>
      </c>
    </row>
    <row r="41" customFormat="false" ht="21.75" hidden="false" customHeight="true" outlineLevel="0" collapsed="false">
      <c r="A41" s="6" t="s">
        <v>240</v>
      </c>
      <c r="B41" s="6" t="s">
        <v>90</v>
      </c>
      <c r="C41" s="6" t="s">
        <v>241</v>
      </c>
      <c r="D41" s="6"/>
      <c r="E41" s="6" t="s">
        <v>242</v>
      </c>
      <c r="F41" s="6" t="s">
        <v>40</v>
      </c>
      <c r="G41" s="6" t="s">
        <v>71</v>
      </c>
      <c r="H41" s="6" t="s">
        <v>43</v>
      </c>
      <c r="I41" s="7" t="n">
        <v>3</v>
      </c>
      <c r="J41" s="6" t="s">
        <v>209</v>
      </c>
      <c r="K41" s="6" t="s">
        <v>161</v>
      </c>
      <c r="L41" s="6" t="s">
        <v>243</v>
      </c>
      <c r="M41" s="6" t="s">
        <v>244</v>
      </c>
      <c r="N41" s="6" t="s">
        <v>23</v>
      </c>
    </row>
    <row r="42" customFormat="false" ht="21.75" hidden="false" customHeight="true" outlineLevel="0" collapsed="false">
      <c r="A42" s="6" t="s">
        <v>245</v>
      </c>
      <c r="B42" s="6" t="s">
        <v>90</v>
      </c>
      <c r="C42" s="6" t="s">
        <v>246</v>
      </c>
      <c r="D42" s="6"/>
      <c r="E42" s="6" t="s">
        <v>247</v>
      </c>
      <c r="F42" s="6" t="s">
        <v>46</v>
      </c>
      <c r="G42" s="6" t="s">
        <v>71</v>
      </c>
      <c r="H42" s="6" t="s">
        <v>43</v>
      </c>
      <c r="I42" s="7" t="n">
        <v>3</v>
      </c>
      <c r="J42" s="6" t="s">
        <v>209</v>
      </c>
      <c r="K42" s="6" t="s">
        <v>248</v>
      </c>
      <c r="L42" s="6" t="s">
        <v>249</v>
      </c>
      <c r="M42" s="6" t="s">
        <v>250</v>
      </c>
      <c r="N42" s="6" t="s">
        <v>23</v>
      </c>
    </row>
    <row r="43" customFormat="false" ht="21.75" hidden="false" customHeight="true" outlineLevel="0" collapsed="false">
      <c r="A43" s="6" t="s">
        <v>251</v>
      </c>
      <c r="B43" s="6" t="s">
        <v>90</v>
      </c>
      <c r="C43" s="6" t="s">
        <v>252</v>
      </c>
      <c r="D43" s="6"/>
      <c r="E43" s="6" t="s">
        <v>253</v>
      </c>
      <c r="F43" s="6" t="s">
        <v>46</v>
      </c>
      <c r="G43" s="6" t="s">
        <v>71</v>
      </c>
      <c r="H43" s="6" t="s">
        <v>43</v>
      </c>
      <c r="I43" s="7" t="n">
        <v>3</v>
      </c>
      <c r="J43" s="6" t="s">
        <v>209</v>
      </c>
      <c r="K43" s="6" t="s">
        <v>254</v>
      </c>
      <c r="L43" s="6" t="s">
        <v>255</v>
      </c>
      <c r="M43" s="6" t="s">
        <v>256</v>
      </c>
      <c r="N43" s="6" t="s">
        <v>23</v>
      </c>
    </row>
    <row r="44" customFormat="false" ht="32.25" hidden="false" customHeight="true" outlineLevel="0" collapsed="false">
      <c r="A44" s="6" t="s">
        <v>257</v>
      </c>
      <c r="B44" s="6" t="s">
        <v>90</v>
      </c>
      <c r="C44" s="6" t="s">
        <v>258</v>
      </c>
      <c r="D44" s="6"/>
      <c r="E44" s="6" t="s">
        <v>259</v>
      </c>
      <c r="F44" s="6" t="s">
        <v>51</v>
      </c>
      <c r="G44" s="6" t="s">
        <v>18</v>
      </c>
      <c r="H44" s="6" t="s">
        <v>54</v>
      </c>
      <c r="I44" s="7" t="n">
        <v>8</v>
      </c>
      <c r="J44" s="6" t="s">
        <v>209</v>
      </c>
      <c r="K44" s="6" t="s">
        <v>260</v>
      </c>
      <c r="L44" s="6" t="s">
        <v>261</v>
      </c>
      <c r="M44" s="6" t="s">
        <v>262</v>
      </c>
      <c r="N44" s="6" t="s">
        <v>23</v>
      </c>
    </row>
    <row r="45" customFormat="false" ht="21.75" hidden="false" customHeight="true" outlineLevel="0" collapsed="false">
      <c r="A45" s="6" t="s">
        <v>263</v>
      </c>
      <c r="B45" s="6" t="s">
        <v>90</v>
      </c>
      <c r="C45" s="6" t="s">
        <v>264</v>
      </c>
      <c r="D45" s="6"/>
      <c r="E45" s="6" t="s">
        <v>265</v>
      </c>
      <c r="F45" s="6" t="s">
        <v>51</v>
      </c>
      <c r="G45" s="6" t="s">
        <v>18</v>
      </c>
      <c r="H45" s="6" t="s">
        <v>54</v>
      </c>
      <c r="I45" s="7" t="n">
        <v>3</v>
      </c>
      <c r="J45" s="6" t="s">
        <v>209</v>
      </c>
      <c r="K45" s="6" t="s">
        <v>260</v>
      </c>
      <c r="L45" s="6" t="s">
        <v>266</v>
      </c>
      <c r="M45" s="6" t="s">
        <v>267</v>
      </c>
      <c r="N45" s="6" t="s">
        <v>23</v>
      </c>
    </row>
    <row r="46" customFormat="false" ht="15" hidden="false" customHeight="true" outlineLevel="0" collapsed="false">
      <c r="A46" s="6" t="s">
        <v>268</v>
      </c>
      <c r="B46" s="6" t="s">
        <v>90</v>
      </c>
      <c r="C46" s="6" t="s">
        <v>269</v>
      </c>
      <c r="D46" s="6"/>
      <c r="E46" s="6" t="s">
        <v>270</v>
      </c>
      <c r="F46" s="6" t="s">
        <v>57</v>
      </c>
      <c r="G46" s="6" t="s">
        <v>71</v>
      </c>
      <c r="H46" s="6" t="s">
        <v>54</v>
      </c>
      <c r="I46" s="7" t="n">
        <v>3</v>
      </c>
      <c r="J46" s="6" t="s">
        <v>209</v>
      </c>
      <c r="K46" s="6" t="s">
        <v>271</v>
      </c>
      <c r="L46" s="6" t="s">
        <v>272</v>
      </c>
      <c r="M46" s="6" t="s">
        <v>273</v>
      </c>
      <c r="N46" s="6" t="s">
        <v>23</v>
      </c>
    </row>
    <row r="47" customFormat="false" ht="21.75" hidden="false" customHeight="true" outlineLevel="0" collapsed="false">
      <c r="A47" s="6" t="s">
        <v>274</v>
      </c>
      <c r="B47" s="6" t="s">
        <v>90</v>
      </c>
      <c r="C47" s="6" t="s">
        <v>275</v>
      </c>
      <c r="D47" s="6"/>
      <c r="E47" s="6" t="s">
        <v>276</v>
      </c>
      <c r="F47" s="6" t="s">
        <v>62</v>
      </c>
      <c r="G47" s="6" t="s">
        <v>79</v>
      </c>
      <c r="H47" s="6" t="s">
        <v>43</v>
      </c>
      <c r="I47" s="7" t="n">
        <v>5</v>
      </c>
      <c r="J47" s="6" t="s">
        <v>209</v>
      </c>
      <c r="K47" s="6" t="s">
        <v>277</v>
      </c>
      <c r="L47" s="6" t="s">
        <v>278</v>
      </c>
      <c r="M47" s="6" t="s">
        <v>279</v>
      </c>
      <c r="N47" s="6" t="s">
        <v>23</v>
      </c>
    </row>
    <row r="48" customFormat="false" ht="21.75" hidden="false" customHeight="true" outlineLevel="0" collapsed="false">
      <c r="A48" s="6" t="s">
        <v>280</v>
      </c>
      <c r="B48" s="6" t="s">
        <v>90</v>
      </c>
      <c r="C48" s="6" t="s">
        <v>281</v>
      </c>
      <c r="D48" s="6"/>
      <c r="E48" s="6" t="s">
        <v>282</v>
      </c>
      <c r="F48" s="6" t="s">
        <v>62</v>
      </c>
      <c r="G48" s="6" t="s">
        <v>18</v>
      </c>
      <c r="H48" s="6" t="s">
        <v>19</v>
      </c>
      <c r="I48" s="7" t="n">
        <v>5</v>
      </c>
      <c r="J48" s="6" t="s">
        <v>209</v>
      </c>
      <c r="K48" s="6" t="s">
        <v>128</v>
      </c>
      <c r="L48" s="6" t="s">
        <v>283</v>
      </c>
      <c r="M48" s="6" t="s">
        <v>284</v>
      </c>
      <c r="N48" s="6" t="s">
        <v>23</v>
      </c>
    </row>
    <row r="49" customFormat="false" ht="21.75" hidden="false" customHeight="true" outlineLevel="0" collapsed="false">
      <c r="A49" s="6" t="s">
        <v>285</v>
      </c>
      <c r="B49" s="6" t="s">
        <v>90</v>
      </c>
      <c r="C49" s="6" t="s">
        <v>286</v>
      </c>
      <c r="D49" s="6"/>
      <c r="E49" s="6" t="s">
        <v>287</v>
      </c>
      <c r="F49" s="6" t="s">
        <v>62</v>
      </c>
      <c r="G49" s="6" t="s">
        <v>18</v>
      </c>
      <c r="H49" s="6" t="s">
        <v>32</v>
      </c>
      <c r="I49" s="7" t="n">
        <v>3</v>
      </c>
      <c r="J49" s="6" t="s">
        <v>209</v>
      </c>
      <c r="K49" s="6" t="s">
        <v>128</v>
      </c>
      <c r="L49" s="6" t="s">
        <v>288</v>
      </c>
      <c r="M49" s="6" t="s">
        <v>289</v>
      </c>
      <c r="N49" s="6" t="s">
        <v>23</v>
      </c>
    </row>
    <row r="50" customFormat="false" ht="15" hidden="false" customHeight="true" outlineLevel="0" collapsed="false">
      <c r="A50" s="6" t="s">
        <v>290</v>
      </c>
      <c r="B50" s="6" t="s">
        <v>90</v>
      </c>
      <c r="C50" s="6" t="s">
        <v>291</v>
      </c>
      <c r="D50" s="6"/>
      <c r="E50" s="6" t="s">
        <v>292</v>
      </c>
      <c r="F50" s="6" t="s">
        <v>62</v>
      </c>
      <c r="G50" s="6" t="s">
        <v>71</v>
      </c>
      <c r="H50" s="6" t="s">
        <v>43</v>
      </c>
      <c r="I50" s="7" t="n">
        <v>3</v>
      </c>
      <c r="J50" s="6" t="s">
        <v>293</v>
      </c>
      <c r="K50" s="6" t="s">
        <v>128</v>
      </c>
      <c r="L50" s="6" t="s">
        <v>294</v>
      </c>
      <c r="M50" s="6" t="s">
        <v>295</v>
      </c>
      <c r="N50" s="6" t="s">
        <v>23</v>
      </c>
    </row>
    <row r="51" customFormat="false" ht="15" hidden="false" customHeight="true" outlineLevel="0" collapsed="false">
      <c r="A51" s="6" t="s">
        <v>296</v>
      </c>
      <c r="B51" s="6" t="s">
        <v>90</v>
      </c>
      <c r="C51" s="6" t="s">
        <v>297</v>
      </c>
      <c r="D51" s="6"/>
      <c r="E51" s="6" t="s">
        <v>298</v>
      </c>
      <c r="F51" s="6" t="s">
        <v>62</v>
      </c>
      <c r="G51" s="6" t="s">
        <v>71</v>
      </c>
      <c r="H51" s="6" t="s">
        <v>54</v>
      </c>
      <c r="I51" s="7" t="n">
        <v>3</v>
      </c>
      <c r="J51" s="6" t="s">
        <v>293</v>
      </c>
      <c r="K51" s="6" t="s">
        <v>128</v>
      </c>
      <c r="L51" s="6" t="s">
        <v>299</v>
      </c>
      <c r="M51" s="6" t="s">
        <v>300</v>
      </c>
      <c r="N51" s="6" t="s">
        <v>23</v>
      </c>
    </row>
    <row r="52" customFormat="false" ht="21.75" hidden="false" customHeight="true" outlineLevel="0" collapsed="false">
      <c r="A52" s="6" t="s">
        <v>301</v>
      </c>
      <c r="B52" s="6" t="s">
        <v>90</v>
      </c>
      <c r="C52" s="6" t="s">
        <v>302</v>
      </c>
      <c r="D52" s="6"/>
      <c r="E52" s="6" t="s">
        <v>303</v>
      </c>
      <c r="F52" s="6" t="s">
        <v>62</v>
      </c>
      <c r="G52" s="6" t="s">
        <v>71</v>
      </c>
      <c r="H52" s="6" t="s">
        <v>54</v>
      </c>
      <c r="I52" s="7" t="n">
        <v>3</v>
      </c>
      <c r="J52" s="6" t="s">
        <v>293</v>
      </c>
      <c r="K52" s="6" t="s">
        <v>304</v>
      </c>
      <c r="L52" s="6" t="s">
        <v>82</v>
      </c>
      <c r="M52" s="6" t="s">
        <v>305</v>
      </c>
      <c r="N52" s="6" t="s">
        <v>23</v>
      </c>
    </row>
    <row r="53" customFormat="false" ht="21.75" hidden="false" customHeight="true" outlineLevel="0" collapsed="false">
      <c r="A53" s="6" t="s">
        <v>306</v>
      </c>
      <c r="B53" s="6" t="s">
        <v>90</v>
      </c>
      <c r="C53" s="6" t="s">
        <v>307</v>
      </c>
      <c r="D53" s="6"/>
      <c r="E53" s="6" t="s">
        <v>308</v>
      </c>
      <c r="F53" s="6" t="s">
        <v>14</v>
      </c>
      <c r="G53" s="6" t="s">
        <v>18</v>
      </c>
      <c r="H53" s="6" t="s">
        <v>19</v>
      </c>
      <c r="I53" s="7" t="n">
        <v>3</v>
      </c>
      <c r="J53" s="6" t="s">
        <v>293</v>
      </c>
      <c r="K53" s="6" t="s">
        <v>309</v>
      </c>
      <c r="L53" s="6" t="s">
        <v>310</v>
      </c>
      <c r="M53" s="6" t="s">
        <v>311</v>
      </c>
      <c r="N53" s="6" t="s">
        <v>23</v>
      </c>
    </row>
    <row r="54" customFormat="false" ht="21.75" hidden="false" customHeight="true" outlineLevel="0" collapsed="false">
      <c r="A54" s="6" t="s">
        <v>312</v>
      </c>
      <c r="B54" s="6" t="s">
        <v>90</v>
      </c>
      <c r="C54" s="6" t="s">
        <v>313</v>
      </c>
      <c r="D54" s="6"/>
      <c r="E54" s="6" t="s">
        <v>314</v>
      </c>
      <c r="F54" s="6" t="s">
        <v>57</v>
      </c>
      <c r="G54" s="6" t="s">
        <v>71</v>
      </c>
      <c r="H54" s="6" t="s">
        <v>54</v>
      </c>
      <c r="I54" s="7" t="n">
        <v>2</v>
      </c>
      <c r="J54" s="6" t="s">
        <v>293</v>
      </c>
      <c r="K54" s="6" t="s">
        <v>111</v>
      </c>
      <c r="L54" s="6" t="s">
        <v>315</v>
      </c>
      <c r="M54" s="6" t="s">
        <v>316</v>
      </c>
      <c r="N54" s="6" t="s">
        <v>23</v>
      </c>
    </row>
    <row r="55" customFormat="false" ht="21.75" hidden="false" customHeight="true" outlineLevel="0" collapsed="false">
      <c r="A55" s="6" t="s">
        <v>317</v>
      </c>
      <c r="B55" s="6" t="s">
        <v>76</v>
      </c>
      <c r="C55" s="6" t="s">
        <v>318</v>
      </c>
      <c r="D55" s="6"/>
      <c r="E55" s="6" t="s">
        <v>319</v>
      </c>
      <c r="F55" s="6" t="s">
        <v>68</v>
      </c>
      <c r="G55" s="6" t="s">
        <v>18</v>
      </c>
      <c r="H55" s="6" t="s">
        <v>32</v>
      </c>
      <c r="I55" s="7" t="n">
        <v>5</v>
      </c>
      <c r="J55" s="6" t="s">
        <v>293</v>
      </c>
      <c r="K55" s="6" t="s">
        <v>123</v>
      </c>
      <c r="L55" s="6" t="s">
        <v>320</v>
      </c>
      <c r="M55" s="6" t="s">
        <v>321</v>
      </c>
      <c r="N55" s="6" t="s">
        <v>23</v>
      </c>
    </row>
    <row r="56" customFormat="false" ht="21.75" hidden="false" customHeight="true" outlineLevel="0" collapsed="false">
      <c r="A56" s="6" t="s">
        <v>322</v>
      </c>
      <c r="B56" s="6" t="s">
        <v>76</v>
      </c>
      <c r="C56" s="6" t="s">
        <v>323</v>
      </c>
      <c r="D56" s="6"/>
      <c r="E56" s="6" t="s">
        <v>324</v>
      </c>
      <c r="F56" s="6" t="s">
        <v>68</v>
      </c>
      <c r="G56" s="6" t="s">
        <v>71</v>
      </c>
      <c r="H56" s="6" t="s">
        <v>43</v>
      </c>
      <c r="I56" s="7" t="n">
        <v>3</v>
      </c>
      <c r="J56" s="6" t="s">
        <v>293</v>
      </c>
      <c r="K56" s="6" t="s">
        <v>325</v>
      </c>
      <c r="L56" s="6" t="s">
        <v>278</v>
      </c>
      <c r="M56" s="6" t="s">
        <v>326</v>
      </c>
      <c r="N56" s="6" t="s">
        <v>23</v>
      </c>
    </row>
    <row r="57" customFormat="false" ht="21.75" hidden="false" customHeight="true" outlineLevel="0" collapsed="false">
      <c r="A57" s="6" t="s">
        <v>327</v>
      </c>
      <c r="B57" s="6" t="s">
        <v>76</v>
      </c>
      <c r="C57" s="6" t="s">
        <v>328</v>
      </c>
      <c r="D57" s="6"/>
      <c r="E57" s="6" t="s">
        <v>329</v>
      </c>
      <c r="F57" s="6" t="s">
        <v>68</v>
      </c>
      <c r="G57" s="6" t="s">
        <v>71</v>
      </c>
      <c r="H57" s="6" t="s">
        <v>32</v>
      </c>
      <c r="I57" s="7" t="n">
        <v>2</v>
      </c>
      <c r="J57" s="6" t="s">
        <v>293</v>
      </c>
      <c r="K57" s="6" t="s">
        <v>87</v>
      </c>
      <c r="L57" s="6" t="s">
        <v>82</v>
      </c>
      <c r="M57" s="6" t="s">
        <v>330</v>
      </c>
      <c r="N57" s="6" t="s">
        <v>23</v>
      </c>
    </row>
    <row r="58" customFormat="false" ht="15" hidden="false" customHeight="true" outlineLevel="0" collapsed="false">
      <c r="A58" s="6" t="s">
        <v>331</v>
      </c>
      <c r="B58" s="6" t="s">
        <v>76</v>
      </c>
      <c r="C58" s="6" t="s">
        <v>332</v>
      </c>
      <c r="D58" s="6"/>
      <c r="E58" s="6" t="s">
        <v>333</v>
      </c>
      <c r="F58" s="6" t="s">
        <v>68</v>
      </c>
      <c r="G58" s="6" t="s">
        <v>18</v>
      </c>
      <c r="H58" s="6" t="s">
        <v>54</v>
      </c>
      <c r="I58" s="7" t="n">
        <v>3</v>
      </c>
      <c r="J58" s="6" t="s">
        <v>293</v>
      </c>
      <c r="K58" s="6" t="s">
        <v>123</v>
      </c>
      <c r="L58" s="6" t="s">
        <v>82</v>
      </c>
      <c r="M58" s="6" t="s">
        <v>334</v>
      </c>
      <c r="N58" s="6" t="s">
        <v>23</v>
      </c>
    </row>
    <row r="59" customFormat="false" ht="21.75" hidden="false" customHeight="true" outlineLevel="0" collapsed="false">
      <c r="A59" s="6" t="s">
        <v>335</v>
      </c>
      <c r="B59" s="6" t="s">
        <v>76</v>
      </c>
      <c r="C59" s="6" t="s">
        <v>336</v>
      </c>
      <c r="D59" s="6"/>
      <c r="E59" s="6" t="s">
        <v>337</v>
      </c>
      <c r="F59" s="6" t="s">
        <v>68</v>
      </c>
      <c r="G59" s="6" t="s">
        <v>79</v>
      </c>
      <c r="H59" s="6" t="s">
        <v>43</v>
      </c>
      <c r="I59" s="7" t="n">
        <v>5</v>
      </c>
      <c r="J59" s="6" t="s">
        <v>293</v>
      </c>
      <c r="K59" s="6" t="s">
        <v>123</v>
      </c>
      <c r="L59" s="6" t="s">
        <v>338</v>
      </c>
      <c r="M59" s="6" t="s">
        <v>339</v>
      </c>
      <c r="N59" s="6" t="s">
        <v>23</v>
      </c>
    </row>
    <row r="60" customFormat="false" ht="15" hidden="false" customHeight="true" outlineLevel="0" collapsed="false">
      <c r="A60" s="6" t="s">
        <v>340</v>
      </c>
      <c r="B60" s="6" t="s">
        <v>76</v>
      </c>
      <c r="C60" s="6" t="s">
        <v>341</v>
      </c>
      <c r="D60" s="6"/>
      <c r="E60" s="6" t="s">
        <v>342</v>
      </c>
      <c r="F60" s="6" t="s">
        <v>68</v>
      </c>
      <c r="G60" s="6" t="s">
        <v>18</v>
      </c>
      <c r="H60" s="6" t="s">
        <v>43</v>
      </c>
      <c r="I60" s="7" t="n">
        <v>2</v>
      </c>
      <c r="J60" s="6" t="s">
        <v>293</v>
      </c>
      <c r="K60" s="6" t="s">
        <v>343</v>
      </c>
      <c r="L60" s="6" t="s">
        <v>338</v>
      </c>
      <c r="M60" s="6" t="s">
        <v>344</v>
      </c>
      <c r="N60" s="6" t="s">
        <v>23</v>
      </c>
    </row>
    <row r="61" customFormat="false" ht="21.75" hidden="false" customHeight="true" outlineLevel="0" collapsed="false">
      <c r="A61" s="6" t="s">
        <v>345</v>
      </c>
      <c r="B61" s="6" t="s">
        <v>76</v>
      </c>
      <c r="C61" s="6" t="s">
        <v>346</v>
      </c>
      <c r="D61" s="6"/>
      <c r="E61" s="6" t="s">
        <v>347</v>
      </c>
      <c r="F61" s="6" t="s">
        <v>68</v>
      </c>
      <c r="G61" s="6" t="s">
        <v>71</v>
      </c>
      <c r="H61" s="6" t="s">
        <v>54</v>
      </c>
      <c r="I61" s="7" t="n">
        <v>3</v>
      </c>
      <c r="J61" s="6" t="s">
        <v>293</v>
      </c>
      <c r="K61" s="6" t="s">
        <v>343</v>
      </c>
      <c r="L61" s="6" t="s">
        <v>129</v>
      </c>
      <c r="M61" s="6" t="s">
        <v>348</v>
      </c>
      <c r="N61" s="6" t="s">
        <v>23</v>
      </c>
    </row>
    <row r="62" customFormat="false" ht="15" hidden="false" customHeight="true" outlineLevel="0" collapsed="false">
      <c r="A62" s="6" t="s">
        <v>349</v>
      </c>
      <c r="B62" s="6" t="s">
        <v>76</v>
      </c>
      <c r="C62" s="6" t="s">
        <v>350</v>
      </c>
      <c r="D62" s="6"/>
      <c r="E62" s="6" t="s">
        <v>351</v>
      </c>
      <c r="F62" s="6" t="s">
        <v>68</v>
      </c>
      <c r="G62" s="6" t="s">
        <v>18</v>
      </c>
      <c r="H62" s="6" t="s">
        <v>43</v>
      </c>
      <c r="I62" s="7" t="n">
        <v>3</v>
      </c>
      <c r="J62" s="6" t="s">
        <v>293</v>
      </c>
      <c r="K62" s="6" t="s">
        <v>343</v>
      </c>
      <c r="L62" s="6" t="s">
        <v>72</v>
      </c>
      <c r="M62" s="6" t="s">
        <v>352</v>
      </c>
      <c r="N62" s="6" t="s">
        <v>23</v>
      </c>
    </row>
  </sheetData>
  <autoFilter ref="A1:N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9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</cols>
  <sheetData>
    <row r="1" customFormat="false" ht="23.25" hidden="false" customHeight="true" outlineLevel="0" collapsed="false">
      <c r="A1" s="2" t="s">
        <v>353</v>
      </c>
      <c r="B1" s="2" t="s">
        <v>15</v>
      </c>
      <c r="C1" s="2" t="s">
        <v>354</v>
      </c>
      <c r="D1" s="2" t="s">
        <v>355</v>
      </c>
      <c r="E1" s="2" t="s">
        <v>11</v>
      </c>
      <c r="F1" s="2" t="s">
        <v>356</v>
      </c>
      <c r="G1" s="2" t="s">
        <v>357</v>
      </c>
      <c r="H1" s="2" t="s">
        <v>358</v>
      </c>
    </row>
    <row r="2" customFormat="false" ht="15" hidden="false" customHeight="true" outlineLevel="0" collapsed="false">
      <c r="A2" s="8" t="s">
        <v>14</v>
      </c>
      <c r="B2" s="8" t="s">
        <v>16</v>
      </c>
      <c r="C2" s="8" t="s">
        <v>359</v>
      </c>
      <c r="D2" s="8" t="s">
        <v>19</v>
      </c>
      <c r="E2" s="8" t="s">
        <v>21</v>
      </c>
      <c r="F2" s="8" t="n">
        <f aca="false">COUNTIFS(Backlog!$F$2:$F$62,A2)</f>
        <v>6</v>
      </c>
      <c r="G2" s="8" t="n">
        <f aca="false">SUMIFS(Backlog!$I$2:$I$62,Backlog!$F$2:$F$62,A2)</f>
        <v>21</v>
      </c>
      <c r="H2" s="9" t="n">
        <f aca="false">G2/$G$12</f>
        <v>0.114754098360656</v>
      </c>
    </row>
    <row r="3" customFormat="false" ht="15" hidden="false" customHeight="true" outlineLevel="0" collapsed="false">
      <c r="A3" s="8" t="s">
        <v>24</v>
      </c>
      <c r="B3" s="8" t="s">
        <v>25</v>
      </c>
      <c r="C3" s="8" t="s">
        <v>360</v>
      </c>
      <c r="D3" s="8" t="s">
        <v>19</v>
      </c>
      <c r="E3" s="8" t="s">
        <v>28</v>
      </c>
      <c r="F3" s="8" t="n">
        <f aca="false">COUNTIFS(Backlog!$F$2:$F$62,A3)</f>
        <v>5</v>
      </c>
      <c r="G3" s="8" t="n">
        <f aca="false">SUMIFS(Backlog!$I$2:$I$62,Backlog!$F$2:$F$62,A3)</f>
        <v>18</v>
      </c>
      <c r="H3" s="9" t="n">
        <f aca="false">G3/$G$12</f>
        <v>0.0983606557377049</v>
      </c>
    </row>
    <row r="4" customFormat="false" ht="15" hidden="false" customHeight="true" outlineLevel="0" collapsed="false">
      <c r="A4" s="8" t="s">
        <v>29</v>
      </c>
      <c r="B4" s="8" t="s">
        <v>30</v>
      </c>
      <c r="C4" s="8" t="s">
        <v>361</v>
      </c>
      <c r="D4" s="8" t="s">
        <v>32</v>
      </c>
      <c r="E4" s="8" t="s">
        <v>34</v>
      </c>
      <c r="F4" s="8" t="n">
        <f aca="false">COUNTIFS(Backlog!$F$2:$F$62,A4)</f>
        <v>6</v>
      </c>
      <c r="G4" s="8" t="n">
        <f aca="false">SUMIFS(Backlog!$I$2:$I$62,Backlog!$F$2:$F$62,A4)</f>
        <v>25</v>
      </c>
      <c r="H4" s="9" t="n">
        <f aca="false">G4/$G$12</f>
        <v>0.136612021857924</v>
      </c>
    </row>
    <row r="5" customFormat="false" ht="15" hidden="false" customHeight="true" outlineLevel="0" collapsed="false">
      <c r="A5" s="8" t="s">
        <v>35</v>
      </c>
      <c r="B5" s="8" t="s">
        <v>36</v>
      </c>
      <c r="C5" s="8" t="s">
        <v>362</v>
      </c>
      <c r="D5" s="8" t="s">
        <v>32</v>
      </c>
      <c r="E5" s="8" t="s">
        <v>39</v>
      </c>
      <c r="F5" s="8" t="n">
        <f aca="false">COUNTIFS(Backlog!$F$2:$F$62,A5)</f>
        <v>3</v>
      </c>
      <c r="G5" s="8" t="n">
        <f aca="false">SUMIFS(Backlog!$I$2:$I$62,Backlog!$F$2:$F$62,A5)</f>
        <v>11</v>
      </c>
      <c r="H5" s="9" t="n">
        <f aca="false">G5/$G$12</f>
        <v>0.0601092896174863</v>
      </c>
    </row>
    <row r="6" customFormat="false" ht="15" hidden="false" customHeight="true" outlineLevel="0" collapsed="false">
      <c r="A6" s="8" t="s">
        <v>40</v>
      </c>
      <c r="B6" s="8" t="s">
        <v>41</v>
      </c>
      <c r="C6" s="8" t="s">
        <v>363</v>
      </c>
      <c r="D6" s="8" t="s">
        <v>43</v>
      </c>
      <c r="E6" s="8" t="s">
        <v>45</v>
      </c>
      <c r="F6" s="8" t="n">
        <f aca="false">COUNTIFS(Backlog!$F$2:$F$62,A6)</f>
        <v>4</v>
      </c>
      <c r="G6" s="8" t="n">
        <f aca="false">SUMIFS(Backlog!$I$2:$I$62,Backlog!$F$2:$F$62,A6)</f>
        <v>16</v>
      </c>
      <c r="H6" s="9" t="n">
        <f aca="false">G6/$G$12</f>
        <v>0.087431693989071</v>
      </c>
    </row>
    <row r="7" customFormat="false" ht="15" hidden="false" customHeight="true" outlineLevel="0" collapsed="false">
      <c r="A7" s="8" t="s">
        <v>46</v>
      </c>
      <c r="B7" s="8" t="s">
        <v>47</v>
      </c>
      <c r="C7" s="8" t="s">
        <v>364</v>
      </c>
      <c r="D7" s="8" t="s">
        <v>43</v>
      </c>
      <c r="E7" s="8" t="s">
        <v>50</v>
      </c>
      <c r="F7" s="8" t="n">
        <f aca="false">COUNTIFS(Backlog!$F$2:$F$62,A7)</f>
        <v>3</v>
      </c>
      <c r="G7" s="8" t="n">
        <f aca="false">SUMIFS(Backlog!$I$2:$I$62,Backlog!$F$2:$F$62,A7)</f>
        <v>8</v>
      </c>
      <c r="H7" s="9" t="n">
        <f aca="false">G7/$G$12</f>
        <v>0.0437158469945355</v>
      </c>
    </row>
    <row r="8" customFormat="false" ht="15" hidden="false" customHeight="true" outlineLevel="0" collapsed="false">
      <c r="A8" s="8" t="s">
        <v>51</v>
      </c>
      <c r="B8" s="8" t="s">
        <v>52</v>
      </c>
      <c r="C8" s="8" t="s">
        <v>365</v>
      </c>
      <c r="D8" s="8" t="s">
        <v>54</v>
      </c>
      <c r="E8" s="8" t="s">
        <v>56</v>
      </c>
      <c r="F8" s="8" t="n">
        <f aca="false">COUNTIFS(Backlog!$F$2:$F$62,A8)</f>
        <v>2</v>
      </c>
      <c r="G8" s="8" t="n">
        <f aca="false">SUMIFS(Backlog!$I$2:$I$62,Backlog!$F$2:$F$62,A8)</f>
        <v>11</v>
      </c>
      <c r="H8" s="9" t="n">
        <f aca="false">G8/$G$12</f>
        <v>0.0601092896174863</v>
      </c>
    </row>
    <row r="9" customFormat="false" ht="15" hidden="false" customHeight="true" outlineLevel="0" collapsed="false">
      <c r="A9" s="8" t="s">
        <v>57</v>
      </c>
      <c r="B9" s="8" t="s">
        <v>58</v>
      </c>
      <c r="C9" s="8" t="s">
        <v>366</v>
      </c>
      <c r="D9" s="8" t="s">
        <v>54</v>
      </c>
      <c r="E9" s="8" t="s">
        <v>61</v>
      </c>
      <c r="F9" s="8" t="n">
        <f aca="false">COUNTIFS(Backlog!$F$2:$F$62,A9)</f>
        <v>4</v>
      </c>
      <c r="G9" s="8" t="n">
        <f aca="false">SUMIFS(Backlog!$I$2:$I$62,Backlog!$F$2:$F$62,A9)</f>
        <v>11</v>
      </c>
      <c r="H9" s="9" t="n">
        <f aca="false">G9/$G$12</f>
        <v>0.0601092896174863</v>
      </c>
    </row>
    <row r="10" customFormat="false" ht="15" hidden="false" customHeight="true" outlineLevel="0" collapsed="false">
      <c r="A10" s="8" t="s">
        <v>62</v>
      </c>
      <c r="B10" s="8" t="s">
        <v>63</v>
      </c>
      <c r="C10" s="8" t="s">
        <v>367</v>
      </c>
      <c r="D10" s="8" t="s">
        <v>65</v>
      </c>
      <c r="E10" s="8" t="s">
        <v>67</v>
      </c>
      <c r="F10" s="8" t="n">
        <f aca="false">COUNTIFS(Backlog!$F$2:$F$62,A10)</f>
        <v>7</v>
      </c>
      <c r="G10" s="8" t="n">
        <f aca="false">SUMIFS(Backlog!$I$2:$I$62,Backlog!$F$2:$F$62,A10)</f>
        <v>25</v>
      </c>
      <c r="H10" s="9" t="n">
        <f aca="false">G10/$G$12</f>
        <v>0.136612021857924</v>
      </c>
    </row>
    <row r="11" customFormat="false" ht="15" hidden="false" customHeight="true" outlineLevel="0" collapsed="false">
      <c r="A11" s="8" t="s">
        <v>68</v>
      </c>
      <c r="B11" s="8" t="s">
        <v>69</v>
      </c>
      <c r="C11" s="8" t="s">
        <v>72</v>
      </c>
      <c r="D11" s="8" t="s">
        <v>72</v>
      </c>
      <c r="E11" s="8" t="s">
        <v>74</v>
      </c>
      <c r="F11" s="8" t="n">
        <f aca="false">COUNTIFS(Backlog!$F$2:$F$62,A11)</f>
        <v>11</v>
      </c>
      <c r="G11" s="8" t="n">
        <f aca="false">SUMIFS(Backlog!$I$2:$I$62,Backlog!$F$2:$F$62,A11)</f>
        <v>37</v>
      </c>
      <c r="H11" s="9" t="n">
        <f aca="false">G11/$G$12</f>
        <v>0.202185792349727</v>
      </c>
    </row>
    <row r="12" customFormat="false" ht="15" hidden="false" customHeight="true" outlineLevel="0" collapsed="false">
      <c r="A12" s="10" t="s">
        <v>368</v>
      </c>
      <c r="B12" s="10"/>
      <c r="C12" s="10"/>
      <c r="D12" s="10"/>
      <c r="E12" s="10"/>
      <c r="F12" s="10" t="n">
        <f aca="false">SUM(F2:F11)</f>
        <v>51</v>
      </c>
      <c r="G12" s="10" t="n">
        <f aca="false">SUM(G2:G11)</f>
        <v>183</v>
      </c>
      <c r="H12" s="11" t="n">
        <f aca="false">SUM(H2:H11)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2"/>
    <col collapsed="false" customWidth="true" hidden="false" outlineLevel="0" max="7" min="3" style="1" width="14"/>
  </cols>
  <sheetData>
    <row r="1" customFormat="false" ht="15.75" hidden="false" customHeight="true" outlineLevel="0" collapsed="false">
      <c r="A1" s="12" t="s">
        <v>369</v>
      </c>
    </row>
    <row r="3" customFormat="false" ht="23.25" hidden="false" customHeight="true" outlineLevel="0" collapsed="false">
      <c r="A3" s="2" t="s">
        <v>9</v>
      </c>
      <c r="B3" s="2" t="s">
        <v>370</v>
      </c>
      <c r="C3" s="2" t="s">
        <v>356</v>
      </c>
      <c r="D3" s="2" t="s">
        <v>357</v>
      </c>
      <c r="E3" s="2" t="s">
        <v>371</v>
      </c>
      <c r="F3" s="2" t="s">
        <v>372</v>
      </c>
    </row>
    <row r="4" customFormat="false" ht="42" hidden="false" customHeight="true" outlineLevel="0" collapsed="false">
      <c r="A4" s="8" t="s">
        <v>80</v>
      </c>
      <c r="B4" s="8" t="s">
        <v>373</v>
      </c>
      <c r="C4" s="8" t="n">
        <f aca="false">COUNTIFS(Backlog!$J$2:$J$62,A4)</f>
        <v>9</v>
      </c>
      <c r="D4" s="8" t="n">
        <f aca="false">SUMIFS(Backlog!$I$2:$I$62,Backlog!$J$2:$J$62,A4)</f>
        <v>30</v>
      </c>
      <c r="E4" s="9" t="n">
        <f aca="false">D4/$D$8</f>
        <v>0.163934426229508</v>
      </c>
      <c r="F4" s="13" t="n">
        <f aca="false">D4/AVERAGE($D$4:$D$7)</f>
        <v>0.655737704918033</v>
      </c>
      <c r="G4" s="8"/>
    </row>
    <row r="5" customFormat="false" ht="42" hidden="false" customHeight="true" outlineLevel="0" collapsed="false">
      <c r="A5" s="8" t="s">
        <v>134</v>
      </c>
      <c r="B5" s="8" t="s">
        <v>374</v>
      </c>
      <c r="C5" s="8" t="n">
        <f aca="false">COUNTIFS(Backlog!$J$2:$J$62,A5)</f>
        <v>14</v>
      </c>
      <c r="D5" s="8" t="n">
        <f aca="false">SUMIFS(Backlog!$I$2:$I$62,Backlog!$J$2:$J$62,A5)</f>
        <v>54</v>
      </c>
      <c r="E5" s="9" t="n">
        <f aca="false">D5/$D$8</f>
        <v>0.295081967213115</v>
      </c>
      <c r="F5" s="13" t="n">
        <f aca="false">D5/AVERAGE($D$4:$D$7)</f>
        <v>1.18032786885246</v>
      </c>
      <c r="G5" s="8"/>
    </row>
    <row r="6" customFormat="false" ht="42" hidden="false" customHeight="true" outlineLevel="0" collapsed="false">
      <c r="A6" s="8" t="s">
        <v>209</v>
      </c>
      <c r="B6" s="8" t="s">
        <v>375</v>
      </c>
      <c r="C6" s="8" t="n">
        <f aca="false">COUNTIFS(Backlog!$J$2:$J$62,A6)</f>
        <v>15</v>
      </c>
      <c r="D6" s="8" t="n">
        <f aca="false">SUMIFS(Backlog!$I$2:$I$62,Backlog!$J$2:$J$62,A6)</f>
        <v>59</v>
      </c>
      <c r="E6" s="9" t="n">
        <f aca="false">D6/$D$8</f>
        <v>0.3224043715847</v>
      </c>
      <c r="F6" s="13" t="n">
        <f aca="false">D6/AVERAGE($D$4:$D$7)</f>
        <v>1.2896174863388</v>
      </c>
      <c r="G6" s="8"/>
    </row>
    <row r="7" customFormat="false" ht="42" hidden="false" customHeight="true" outlineLevel="0" collapsed="false">
      <c r="A7" s="8" t="s">
        <v>293</v>
      </c>
      <c r="B7" s="8" t="s">
        <v>376</v>
      </c>
      <c r="C7" s="8" t="n">
        <f aca="false">COUNTIFS(Backlog!$J$2:$J$62,A7)</f>
        <v>13</v>
      </c>
      <c r="D7" s="8" t="n">
        <f aca="false">SUMIFS(Backlog!$I$2:$I$62,Backlog!$J$2:$J$62,A7)</f>
        <v>40</v>
      </c>
      <c r="E7" s="9" t="n">
        <f aca="false">D7/$D$8</f>
        <v>0.218579234972678</v>
      </c>
      <c r="F7" s="13" t="n">
        <f aca="false">D7/AVERAGE($D$4:$D$7)</f>
        <v>0.87431693989071</v>
      </c>
      <c r="G7" s="8"/>
    </row>
    <row r="8" customFormat="false" ht="15" hidden="false" customHeight="true" outlineLevel="0" collapsed="false">
      <c r="A8" s="10" t="s">
        <v>368</v>
      </c>
      <c r="B8" s="10"/>
      <c r="C8" s="10" t="n">
        <f aca="false">SUM(C4:C7)</f>
        <v>51</v>
      </c>
      <c r="D8" s="10" t="n">
        <f aca="false">SUM(D4:D7)</f>
        <v>183</v>
      </c>
      <c r="E8" s="11" t="n">
        <f aca="false">SUM(E4:E7)</f>
        <v>1</v>
      </c>
      <c r="F8" s="14"/>
      <c r="G8" s="10"/>
    </row>
    <row r="10" customFormat="false" ht="15" hidden="false" customHeight="true" outlineLevel="0" collapsed="false">
      <c r="A10" s="15" t="s">
        <v>377</v>
      </c>
    </row>
    <row r="11" customFormat="false" ht="15" hidden="false" customHeight="true" outlineLevel="0" collapsed="false">
      <c r="A11" s="2" t="s">
        <v>7</v>
      </c>
      <c r="B11" s="2" t="s">
        <v>80</v>
      </c>
      <c r="C11" s="2" t="s">
        <v>134</v>
      </c>
      <c r="D11" s="2" t="s">
        <v>209</v>
      </c>
      <c r="E11" s="2" t="s">
        <v>293</v>
      </c>
      <c r="F11" s="2" t="s">
        <v>368</v>
      </c>
      <c r="G11" s="2" t="s">
        <v>371</v>
      </c>
    </row>
    <row r="12" customFormat="false" ht="15" hidden="false" customHeight="true" outlineLevel="0" collapsed="false">
      <c r="A12" s="8" t="s">
        <v>19</v>
      </c>
      <c r="B12" s="8" t="n">
        <f aca="false">SUMIFS(Backlog!$I$2:$I$62,Backlog!$H$2:$H$62,$A12,Backlog!$J$2:$J$62,B$11)</f>
        <v>9</v>
      </c>
      <c r="C12" s="8" t="n">
        <f aca="false">SUMIFS(Backlog!$I$2:$I$62,Backlog!$H$2:$H$62,$A12,Backlog!$J$2:$J$62,C$11)</f>
        <v>30</v>
      </c>
      <c r="D12" s="8" t="n">
        <f aca="false">SUMIFS(Backlog!$I$2:$I$62,Backlog!$H$2:$H$62,$A12,Backlog!$J$2:$J$62,D$11)</f>
        <v>5</v>
      </c>
      <c r="E12" s="8" t="n">
        <f aca="false">SUMIFS(Backlog!$I$2:$I$62,Backlog!$H$2:$H$62,$A12,Backlog!$J$2:$J$62,E$11)</f>
        <v>3</v>
      </c>
      <c r="F12" s="8" t="n">
        <f aca="false">SUM(B12:E12)</f>
        <v>47</v>
      </c>
      <c r="G12" s="9" t="n">
        <f aca="false">F12/$F$16</f>
        <v>0.256830601092896</v>
      </c>
    </row>
    <row r="13" customFormat="false" ht="15" hidden="false" customHeight="true" outlineLevel="0" collapsed="false">
      <c r="A13" s="8" t="s">
        <v>32</v>
      </c>
      <c r="B13" s="8" t="n">
        <f aca="false">SUMIFS(Backlog!$I$2:$I$62,Backlog!$H$2:$H$62,$A13,Backlog!$J$2:$J$62,B$11)</f>
        <v>10</v>
      </c>
      <c r="C13" s="8" t="n">
        <f aca="false">SUMIFS(Backlog!$I$2:$I$62,Backlog!$H$2:$H$62,$A13,Backlog!$J$2:$J$62,C$11)</f>
        <v>13</v>
      </c>
      <c r="D13" s="8" t="n">
        <f aca="false">SUMIFS(Backlog!$I$2:$I$62,Backlog!$H$2:$H$62,$A13,Backlog!$J$2:$J$62,D$11)</f>
        <v>21</v>
      </c>
      <c r="E13" s="8" t="n">
        <f aca="false">SUMIFS(Backlog!$I$2:$I$62,Backlog!$H$2:$H$62,$A13,Backlog!$J$2:$J$62,E$11)</f>
        <v>7</v>
      </c>
      <c r="F13" s="8" t="n">
        <f aca="false">SUM(B13:E13)</f>
        <v>51</v>
      </c>
      <c r="G13" s="9" t="n">
        <f aca="false">F13/$F$16</f>
        <v>0.278688524590164</v>
      </c>
    </row>
    <row r="14" customFormat="false" ht="15" hidden="false" customHeight="true" outlineLevel="0" collapsed="false">
      <c r="A14" s="8" t="s">
        <v>43</v>
      </c>
      <c r="B14" s="8" t="n">
        <f aca="false">SUMIFS(Backlog!$I$2:$I$62,Backlog!$H$2:$H$62,$A14,Backlog!$J$2:$J$62,B$11)</f>
        <v>5</v>
      </c>
      <c r="C14" s="8" t="n">
        <f aca="false">SUMIFS(Backlog!$I$2:$I$62,Backlog!$H$2:$H$62,$A14,Backlog!$J$2:$J$62,C$11)</f>
        <v>3</v>
      </c>
      <c r="D14" s="8" t="n">
        <f aca="false">SUMIFS(Backlog!$I$2:$I$62,Backlog!$H$2:$H$62,$A14,Backlog!$J$2:$J$62,D$11)</f>
        <v>19</v>
      </c>
      <c r="E14" s="8" t="n">
        <f aca="false">SUMIFS(Backlog!$I$2:$I$62,Backlog!$H$2:$H$62,$A14,Backlog!$J$2:$J$62,E$11)</f>
        <v>16</v>
      </c>
      <c r="F14" s="8" t="n">
        <f aca="false">SUM(B14:E14)</f>
        <v>43</v>
      </c>
      <c r="G14" s="9" t="n">
        <f aca="false">F14/$F$16</f>
        <v>0.234972677595628</v>
      </c>
    </row>
    <row r="15" customFormat="false" ht="15" hidden="false" customHeight="true" outlineLevel="0" collapsed="false">
      <c r="A15" s="8" t="s">
        <v>54</v>
      </c>
      <c r="B15" s="8" t="n">
        <f aca="false">SUMIFS(Backlog!$I$2:$I$62,Backlog!$H$2:$H$62,$A15,Backlog!$J$2:$J$62,B$11)</f>
        <v>6</v>
      </c>
      <c r="C15" s="8" t="n">
        <f aca="false">SUMIFS(Backlog!$I$2:$I$62,Backlog!$H$2:$H$62,$A15,Backlog!$J$2:$J$62,C$11)</f>
        <v>8</v>
      </c>
      <c r="D15" s="8" t="n">
        <f aca="false">SUMIFS(Backlog!$I$2:$I$62,Backlog!$H$2:$H$62,$A15,Backlog!$J$2:$J$62,D$11)</f>
        <v>14</v>
      </c>
      <c r="E15" s="8" t="n">
        <f aca="false">SUMIFS(Backlog!$I$2:$I$62,Backlog!$H$2:$H$62,$A15,Backlog!$J$2:$J$62,E$11)</f>
        <v>14</v>
      </c>
      <c r="F15" s="8" t="n">
        <f aca="false">SUM(B15:E15)</f>
        <v>42</v>
      </c>
      <c r="G15" s="9" t="n">
        <f aca="false">F15/$F$16</f>
        <v>0.229508196721311</v>
      </c>
    </row>
    <row r="16" customFormat="false" ht="15" hidden="false" customHeight="true" outlineLevel="0" collapsed="false">
      <c r="A16" s="10" t="s">
        <v>368</v>
      </c>
      <c r="B16" s="10" t="n">
        <f aca="false">SUM(B12:B15)</f>
        <v>30</v>
      </c>
      <c r="C16" s="10" t="n">
        <f aca="false">SUM(C12:C15)</f>
        <v>54</v>
      </c>
      <c r="D16" s="10" t="n">
        <f aca="false">SUM(D12:D15)</f>
        <v>59</v>
      </c>
      <c r="E16" s="10" t="n">
        <f aca="false">SUM(E12:E15)</f>
        <v>40</v>
      </c>
      <c r="F16" s="10" t="n">
        <f aca="false">SUM(F12:F15)</f>
        <v>183</v>
      </c>
      <c r="G16" s="11" t="n">
        <f aca="false">SUM(G12:G15)</f>
        <v>1</v>
      </c>
    </row>
    <row r="18" customFormat="false" ht="15" hidden="false" customHeight="true" outlineLevel="0" collapsed="false">
      <c r="A18" s="16" t="s">
        <v>378</v>
      </c>
      <c r="B18" s="16" t="str">
        <f aca="false">IF(F16=D8,"OK","MISMATCH")</f>
        <v>OK</v>
      </c>
    </row>
    <row r="20" customFormat="false" ht="15" hidden="false" customHeight="true" outlineLevel="0" collapsed="false">
      <c r="A20" s="15" t="s">
        <v>379</v>
      </c>
    </row>
    <row r="21" customFormat="false" ht="30" hidden="false" customHeight="true" outlineLevel="0" collapsed="false">
      <c r="A21" s="17" t="s">
        <v>380</v>
      </c>
      <c r="B21" s="17"/>
      <c r="C21" s="17"/>
      <c r="D21" s="17"/>
      <c r="E21" s="17"/>
      <c r="F21" s="17"/>
      <c r="G21" s="17"/>
    </row>
    <row r="22" customFormat="false" ht="30" hidden="false" customHeight="true" outlineLevel="0" collapsed="false">
      <c r="A22" s="17" t="s">
        <v>381</v>
      </c>
      <c r="B22" s="17"/>
      <c r="C22" s="17"/>
      <c r="D22" s="17"/>
      <c r="E22" s="17"/>
      <c r="F22" s="17"/>
      <c r="G22" s="17"/>
    </row>
    <row r="23" customFormat="false" ht="30" hidden="false" customHeight="true" outlineLevel="0" collapsed="false">
      <c r="A23" s="17" t="s">
        <v>382</v>
      </c>
      <c r="B23" s="17"/>
      <c r="C23" s="17"/>
      <c r="D23" s="17"/>
      <c r="E23" s="17"/>
      <c r="F23" s="17"/>
      <c r="G23" s="17"/>
    </row>
    <row r="24" customFormat="false" ht="30" hidden="false" customHeight="true" outlineLevel="0" collapsed="false">
      <c r="A24" s="17" t="s">
        <v>383</v>
      </c>
      <c r="B24" s="17"/>
      <c r="C24" s="17"/>
      <c r="D24" s="17"/>
      <c r="E24" s="17"/>
      <c r="F24" s="17"/>
      <c r="G24" s="17"/>
    </row>
    <row r="25" customFormat="false" ht="30" hidden="false" customHeight="true" outlineLevel="0" collapsed="false">
      <c r="A25" s="17" t="s">
        <v>384</v>
      </c>
      <c r="B25" s="17"/>
      <c r="C25" s="17"/>
      <c r="D25" s="17"/>
      <c r="E25" s="17"/>
      <c r="F25" s="17"/>
      <c r="G25" s="17"/>
    </row>
  </sheetData>
  <mergeCells count="5">
    <mergeCell ref="A21:G21"/>
    <mergeCell ref="A22:G22"/>
    <mergeCell ref="A23:G23"/>
    <mergeCell ref="A24:G24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0"/>
  </cols>
  <sheetData>
    <row r="1" customFormat="false" ht="15.75" hidden="false" customHeight="true" outlineLevel="0" collapsed="false">
      <c r="A1" s="12" t="s">
        <v>385</v>
      </c>
    </row>
    <row r="3" customFormat="false" ht="23.25" hidden="false" customHeight="true" outlineLevel="0" collapsed="false">
      <c r="A3" s="18" t="s">
        <v>386</v>
      </c>
      <c r="B3" s="19" t="s">
        <v>387</v>
      </c>
    </row>
    <row r="4" customFormat="false" ht="15" hidden="false" customHeight="true" outlineLevel="0" collapsed="false">
      <c r="A4" s="18" t="s">
        <v>388</v>
      </c>
      <c r="B4" s="19" t="s">
        <v>389</v>
      </c>
    </row>
    <row r="5" customFormat="false" ht="45.75" hidden="false" customHeight="true" outlineLevel="0" collapsed="false">
      <c r="A5" s="18" t="s">
        <v>390</v>
      </c>
      <c r="B5" s="19" t="s">
        <v>391</v>
      </c>
    </row>
    <row r="6" customFormat="false" ht="15" hidden="false" customHeight="true" outlineLevel="0" collapsed="false">
      <c r="A6" s="18" t="s">
        <v>392</v>
      </c>
      <c r="B6" s="19" t="s">
        <v>393</v>
      </c>
    </row>
    <row r="7" customFormat="false" ht="15" hidden="false" customHeight="true" outlineLevel="0" collapsed="false">
      <c r="A7" s="18" t="s">
        <v>394</v>
      </c>
      <c r="B7" s="19" t="s">
        <v>395</v>
      </c>
    </row>
    <row r="8" customFormat="false" ht="23.25" hidden="false" customHeight="true" outlineLevel="0" collapsed="false">
      <c r="A8" s="18" t="s">
        <v>396</v>
      </c>
      <c r="B8" s="19" t="s">
        <v>397</v>
      </c>
    </row>
    <row r="9" customFormat="false" ht="15" hidden="false" customHeight="true" outlineLevel="0" collapsed="false">
      <c r="A9" s="18" t="s">
        <v>398</v>
      </c>
      <c r="B9" s="19" t="s">
        <v>399</v>
      </c>
    </row>
    <row r="10" customFormat="false" ht="15" hidden="false" customHeight="true" outlineLevel="0" collapsed="false">
      <c r="A10" s="18" t="s">
        <v>6</v>
      </c>
      <c r="B10" s="19" t="s">
        <v>400</v>
      </c>
    </row>
    <row r="11" customFormat="false" ht="23.25" hidden="false" customHeight="true" outlineLevel="0" collapsed="false">
      <c r="A11" s="18" t="s">
        <v>401</v>
      </c>
      <c r="B11" s="19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2026-10-02T11:02:29Z</dcterms:created>
  <dc:creator>openpyxl</dc:creator>
  <dc:description/>
  <dc:language>en-US</dc:language>
  <cp:lastModifiedBy/>
  <dcterms:modified xsi:type="dcterms:W3CDTF">2026-10-02T11:12:17Z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